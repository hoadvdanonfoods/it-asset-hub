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OneDrive - CONG TY CO PHAN THUC PHAM DAN ON\Dân Ôn Foods\THÁI\TỔNG CAMERA CÁC NHÀ MÁY\MP3TT-17-BMIT - Check list Camera Các Nhà Máy\Check list Tổng Các NM ( Năm 2026 )\ADF\"/>
    </mc:Choice>
  </mc:AlternateContent>
  <bookViews>
    <workbookView xWindow="0" yWindow="0" windowWidth="28800" windowHeight="12375" activeTab="3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háng 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2" l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12" i="1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<sst xmlns="http://schemas.openxmlformats.org/spreadsheetml/2006/main" count="1308" uniqueCount="109">
  <si>
    <t>AN ĐIỀN  FOODS</t>
  </si>
  <si>
    <t>CHECK LIST CAMERA</t>
  </si>
  <si>
    <r>
      <t>Ký hiệu:</t>
    </r>
    <r>
      <rPr>
        <sz val="8"/>
        <rFont val="Times New Roman"/>
        <family val="1"/>
      </rPr>
      <t xml:space="preserve">  EP/QĐ-02-SSOP-05-BM-04</t>
    </r>
  </si>
  <si>
    <r>
      <t xml:space="preserve">Ngày ban hành: </t>
    </r>
    <r>
      <rPr>
        <sz val="8"/>
        <rFont val="Times New Roman"/>
        <family val="1"/>
      </rPr>
      <t>01/11/2024</t>
    </r>
  </si>
  <si>
    <r>
      <t>Lần sửa đổi:</t>
    </r>
    <r>
      <rPr>
        <sz val="8"/>
        <rFont val="Times New Roman"/>
        <family val="1"/>
      </rPr>
      <t xml:space="preserve"> 00</t>
    </r>
  </si>
  <si>
    <r>
      <t>BP biên soạn:</t>
    </r>
    <r>
      <rPr>
        <sz val="8"/>
        <rFont val="Times New Roman"/>
        <family val="1"/>
      </rPr>
      <t xml:space="preserve"> ĐATTP</t>
    </r>
  </si>
  <si>
    <t>Trang: 1/1</t>
  </si>
  <si>
    <t>Khu vực:   Bến Cát</t>
  </si>
  <si>
    <t xml:space="preserve">Tháng </t>
  </si>
  <si>
    <t xml:space="preserve">Năm </t>
  </si>
  <si>
    <t>Ngày</t>
  </si>
  <si>
    <t>Mã số kính cần kiểm soát</t>
  </si>
  <si>
    <t>Ghi chú</t>
  </si>
  <si>
    <t>TT</t>
  </si>
  <si>
    <t>Tên Camera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</si>
  <si>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</si>
  <si>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</si>
  <si>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</si>
  <si>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</si>
  <si>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</si>
  <si>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</si>
  <si>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</si>
  <si>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</si>
  <si>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</si>
  <si>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</si>
  <si>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</si>
  <si>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</si>
  <si>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</si>
  <si>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</si>
  <si>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</si>
  <si>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</si>
  <si>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</si>
  <si>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</si>
  <si>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</si>
  <si>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</si>
  <si>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</si>
  <si>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</si>
  <si>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</si>
  <si>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</si>
  <si>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</si>
  <si>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</si>
  <si>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</si>
  <si>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</si>
  <si>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</si>
  <si>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</si>
  <si>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</si>
  <si>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</si>
  <si>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Ip Tương Ứng</t>
  </si>
  <si>
    <t>Z00-C83</t>
  </si>
  <si>
    <t>Z00-C103</t>
  </si>
  <si>
    <t>Z00-C77</t>
  </si>
  <si>
    <t>Z00-C78</t>
  </si>
  <si>
    <t>Z00-C79</t>
  </si>
  <si>
    <t>Z00-C80</t>
  </si>
  <si>
    <t>Z00-C81</t>
  </si>
  <si>
    <t>Z00-C82</t>
  </si>
  <si>
    <t>Z00-C114</t>
  </si>
  <si>
    <t>Inside Security Z05-C2</t>
  </si>
  <si>
    <t>Function Room Z05-C3</t>
  </si>
  <si>
    <t>Z04-C46</t>
  </si>
  <si>
    <t>Z00-C61</t>
  </si>
  <si>
    <t>Z00-C62</t>
  </si>
  <si>
    <t>Z00-C63</t>
  </si>
  <si>
    <t>Z00-C64</t>
  </si>
  <si>
    <t>Z01-C101</t>
  </si>
  <si>
    <t>Z01-C102</t>
  </si>
  <si>
    <t>Z01-C118</t>
  </si>
  <si>
    <t>Z01-C117</t>
  </si>
  <si>
    <t>Z01-C116</t>
  </si>
  <si>
    <t>Z01-C115</t>
  </si>
  <si>
    <t>Z01-C111</t>
  </si>
  <si>
    <t>Z01-C110</t>
  </si>
  <si>
    <t>Z01-C109</t>
  </si>
  <si>
    <t>Z01-C107</t>
  </si>
  <si>
    <t>Z01-C106</t>
  </si>
  <si>
    <t>Z01-C105</t>
  </si>
  <si>
    <t>.40.83</t>
  </si>
  <si>
    <t>.40.103</t>
  </si>
  <si>
    <t>.40.77</t>
  </si>
  <si>
    <t>.40.78</t>
  </si>
  <si>
    <t>.40.79</t>
  </si>
  <si>
    <t>.40.80</t>
  </si>
  <si>
    <t>.40.81</t>
  </si>
  <si>
    <t>.40.82</t>
  </si>
  <si>
    <t>.40.114</t>
  </si>
  <si>
    <t>.40.2</t>
  </si>
  <si>
    <t>.40.3</t>
  </si>
  <si>
    <t>.40.46</t>
  </si>
  <si>
    <t>.40.61</t>
  </si>
  <si>
    <t>.40.62</t>
  </si>
  <si>
    <t>.40.63</t>
  </si>
  <si>
    <t>.40.64</t>
  </si>
  <si>
    <t>.40.101</t>
  </si>
  <si>
    <t>.40.102</t>
  </si>
  <si>
    <t>.40.118</t>
  </si>
  <si>
    <t>.40.117</t>
  </si>
  <si>
    <t>.40.116</t>
  </si>
  <si>
    <t>.40.115</t>
  </si>
  <si>
    <t>.40.111</t>
  </si>
  <si>
    <t>.40.110</t>
  </si>
  <si>
    <t>.40.109</t>
  </si>
  <si>
    <t>.40.107</t>
  </si>
  <si>
    <t>.40.106</t>
  </si>
  <si>
    <t>.40.105</t>
  </si>
  <si>
    <t>Ghi chú:</t>
  </si>
  <si>
    <t>Không check ( bình thường )</t>
  </si>
  <si>
    <t>F là Fail (mất tín hiệu )</t>
  </si>
  <si>
    <t>Người xem xét</t>
  </si>
  <si>
    <t>ĐẦU GHI: 192.168.40.253:83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</si>
</sst>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theme="1"/>
      <name val="Times New Roman"/>
      <family val="2"/>
    </font>
    <font>
      <sz val="9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Calibri"/>
      <family val="2"/>
      <scheme val="minor"/>
    </font>
    <font>
      <b/>
      <i/>
      <u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0" xfId="0" applyFont="1"/>
    <xf numFmtId="49" fontId="10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3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K$6" max="12" min="1" page="10"/>
</file>

<file path=xl/ctrlProps/ctrlProp2.xml><?xml version="1.0" encoding="utf-8"?>
<formControlPr xmlns="http://schemas.microsoft.com/office/spreadsheetml/2009/9/main" objectType="Spin" dx="22" fmlaLink="$N$6" max="2060" min="2025" page="10" val="2026"/>
</file>

<file path=xl/ctrlProps/ctrlProp3.xml><?xml version="1.0" encoding="utf-8"?>
<formControlPr xmlns="http://schemas.microsoft.com/office/spreadsheetml/2009/9/main" objectType="Spin" dx="22" fmlaLink="$K$6" max="12" min="1" page="10" val="2"/>
</file>

<file path=xl/ctrlProps/ctrlProp4.xml><?xml version="1.0" encoding="utf-8"?>
<formControlPr xmlns="http://schemas.microsoft.com/office/spreadsheetml/2009/9/main" objectType="Spin" dx="22" fmlaLink="$N$6" max="2060" min="2025" page="10" val="2026"/>
</file>

<file path=xl/ctrlProps/ctrlProp5.xml><?xml version="1.0" encoding="utf-8"?>
<formControlPr xmlns="http://schemas.microsoft.com/office/spreadsheetml/2009/9/main" objectType="Spin" dx="22" fmlaLink="$K$6" max="12" min="1" page="10" val="3"/>
</file>

<file path=xl/ctrlProps/ctrlProp6.xml><?xml version="1.0" encoding="utf-8"?>
<formControlPr xmlns="http://schemas.microsoft.com/office/spreadsheetml/2009/9/main" objectType="Spin" dx="22" fmlaLink="$N$6" max="2060" min="2025" page="10" val="2026"/>
</file>

<file path=xl/ctrlProps/ctrlProp7.xml><?xml version="1.0" encoding="utf-8"?>
<formControlPr xmlns="http://schemas.microsoft.com/office/spreadsheetml/2009/9/main" objectType="Spin" dx="22" fmlaLink="$K$6" max="12" min="1" page="10" val="4"/>
</file>

<file path=xl/ctrlProps/ctrlProp8.xml><?xml version="1.0" encoding="utf-8"?>
<formControlPr xmlns="http://schemas.microsoft.com/office/spreadsheetml/2009/9/main" objectType="Spin" dx="22" fmlaLink="$N$6" max="2060" min="2025" page="10" val="2026"/>
</file>

<file path=xl/ctrlProps/ctrlProp9.xml><?xml version="1.0" encoding="utf-8"?>
<formControlPr xmlns="http://schemas.microsoft.com/office/spreadsheetml/2009/9/main" objectType="Spin" dx="22" fmlaLink="$K$6" max="12" min="1" page="10" val="5"/>
</file>

<file path=xl/ctrlProps/ctrlProp10.xml><?xml version="1.0" encoding="utf-8"?>
<formControlPr xmlns="http://schemas.microsoft.com/office/spreadsheetml/2009/9/main" objectType="Spin" dx="22" fmlaLink="$N$6" max="2060" min="2025" page="10" val="2026"/>
</file>

<file path=xl/ctrlProps/ctrlProp11.xml><?xml version="1.0" encoding="utf-8"?>
<formControlPr xmlns="http://schemas.microsoft.com/office/spreadsheetml/2009/9/main" objectType="Spin" dx="22" fmlaLink="$K$6" max="12" min="1" page="10" val="6"/>
</file>

<file path=xl/ctrlProps/ctrlProp12.xml><?xml version="1.0" encoding="utf-8"?>
<formControlPr xmlns="http://schemas.microsoft.com/office/spreadsheetml/2009/9/main" objectType="Spin" dx="22" fmlaLink="$N$6" max="2060" min="2025" page="10" val="2026"/>
</file>

<file path=xl/ctrlProps/ctrlProp13.xml><?xml version="1.0" encoding="utf-8"?>
<formControlPr xmlns="http://schemas.microsoft.com/office/spreadsheetml/2009/9/main" objectType="Spin" dx="22" fmlaLink="$K$6" max="12" min="1" page="10" val="7"/>
</file>

<file path=xl/ctrlProps/ctrlProp14.xml><?xml version="1.0" encoding="utf-8"?>
<formControlPr xmlns="http://schemas.microsoft.com/office/spreadsheetml/2009/9/main" objectType="Spin" dx="22" fmlaLink="$N$6" max="2060" min="2025" page="10" val="2026"/>
</file>

<file path=xl/ctrlProps/ctrlProp15.xml><?xml version="1.0" encoding="utf-8"?>
<formControlPr xmlns="http://schemas.microsoft.com/office/spreadsheetml/2009/9/main" objectType="Spin" dx="22" fmlaLink="$K$6" max="12" min="1" page="10" val="8"/>
</file>

<file path=xl/ctrlProps/ctrlProp16.xml><?xml version="1.0" encoding="utf-8"?>
<formControlPr xmlns="http://schemas.microsoft.com/office/spreadsheetml/2009/9/main" objectType="Spin" dx="22" fmlaLink="$N$6" max="2060" min="2025" page="10" val="2026"/>
</file>

<file path=xl/ctrlProps/ctrlProp17.xml><?xml version="1.0" encoding="utf-8"?>
<formControlPr xmlns="http://schemas.microsoft.com/office/spreadsheetml/2009/9/main" objectType="Spin" dx="22" fmlaLink="$K$6" max="12" min="1" page="10" val="9"/>
</file>

<file path=xl/ctrlProps/ctrlProp18.xml><?xml version="1.0" encoding="utf-8"?>
<formControlPr xmlns="http://schemas.microsoft.com/office/spreadsheetml/2009/9/main" objectType="Spin" dx="22" fmlaLink="$N$6" max="2060" min="2025" page="10" val="2026"/>
</file>

<file path=xl/ctrlProps/ctrlProp19.xml><?xml version="1.0" encoding="utf-8"?>
<formControlPr xmlns="http://schemas.microsoft.com/office/spreadsheetml/2009/9/main" objectType="Spin" dx="22" fmlaLink="$K$6" max="12" min="1" page="10" val="10"/>
</file>

<file path=xl/ctrlProps/ctrlProp20.xml><?xml version="1.0" encoding="utf-8"?>
<formControlPr xmlns="http://schemas.microsoft.com/office/spreadsheetml/2009/9/main" objectType="Spin" dx="22" fmlaLink="$N$6" max="2060" min="2025" page="10" val="2026"/>
</file>

<file path=xl/ctrlProps/ctrlProp21.xml><?xml version="1.0" encoding="utf-8"?>
<formControlPr xmlns="http://schemas.microsoft.com/office/spreadsheetml/2009/9/main" objectType="Spin" dx="22" fmlaLink="$K$6" max="12" min="1" page="10" val="11"/>
</file>

<file path=xl/ctrlProps/ctrlProp22.xml><?xml version="1.0" encoding="utf-8"?>
<formControlPr xmlns="http://schemas.microsoft.com/office/spreadsheetml/2009/9/main" objectType="Spin" dx="22" fmlaLink="$N$6" max="2060" min="2025" page="10" val="2026"/>
</file>

<file path=xl/ctrlProps/ctrlProp23.xml><?xml version="1.0" encoding="utf-8"?>
<formControlPr xmlns="http://schemas.microsoft.com/office/spreadsheetml/2009/9/main" objectType="Spin" dx="22" fmlaLink="$K$6" max="12" min="1" page="10" val="12"/>
</file>

<file path=xl/ctrlProps/ctrlProp24.xml><?xml version="1.0" encoding="utf-8"?>
<formControlPr xmlns="http://schemas.microsoft.com/office/spreadsheetml/2009/9/main" objectType="Spin" dx="22" fmlaLink="$N$6" max="2060" min="2025" page="10" val="2026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2051" name="Spinne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2052" name="Spinne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3075" name="Spinner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3076" name="Spinner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4099" name="Spinner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4100" name="Spinner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5123" name="Spinner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5124" name="Spinner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6147" name="Spinner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6148" name="Spinner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7171" name="Spinner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7172" name="Spinne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8195" name="Spinner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8196" name="Spinner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9219" name="Spinner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9220" name="Spinner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43" name="Spinner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44" name="Spinner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1267" name="Spinner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1268" name="Spinner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2291" name="Spinner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2292" name="Spinner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openxmlformats.org/officeDocument/2006/relationships/ctrlProp" Target="../ctrlProps/ctrlProp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ctrlProp" Target="../ctrlProps/ctrlProp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4" Type="http://schemas.openxmlformats.org/officeDocument/2006/relationships/ctrlProp" Target="../ctrlProps/ctrlProp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4" Type="http://schemas.openxmlformats.org/officeDocument/2006/relationships/ctrlProp" Target="../ctrlProps/ctrlProp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A47" sqref="A47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46023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46024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46025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46026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46027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46028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46029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46030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46031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46032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46033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46034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46035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46036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46037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46038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46039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46040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46041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46042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46043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46044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46045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46046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46047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46048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46049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46050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>
        <f>IF(A39="","",IF(A39=EOMONTH(DATE($N$6,$K$6,1),0),"",A39+1))</f>
        <v>46051</v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>
        <f>IF(A40="","",IF(A40=EOMONTH(DATE($N$6,$K$6,1),0),"",A40+1))</f>
        <v>46052</v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>
        <f>IF(A41="","",IF(A41=EOMONTH(DATE($N$6,$K$6,1),0),"",A41+1))</f>
        <v>46053</v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S36" sqref="S36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2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46054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46055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46056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46057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46058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46059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46060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46061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46062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46063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46064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46065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46066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46067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46068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46069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46070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46071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46072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46073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46074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46075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46076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46077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46078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46079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46080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46081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 t="str">
        <f>IF(A39="","",IF(A39=EOMONTH(DATE($N$6,$K$6,1),0),"",A39+1))</f>
        <v/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 t="str">
        <f>IF(A40="","",IF(A40=EOMONTH(DATE($N$6,$K$6,1),0),"",A40+1))</f>
        <v/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 t="str">
        <f>IF(A41="","",IF(A41=EOMONTH(DATE($N$6,$K$6,1),0),"",A41+1))</f>
        <v/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D48" sqref="D48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3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46082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46083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46084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46085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46086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46087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46088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46089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46090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46091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46092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46093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46094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46095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46096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46097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46098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46099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46100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46101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46102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46103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46104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46105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46106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46107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46108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46109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>
        <f>IF(A39="","",IF(A39=EOMONTH(DATE($N$6,$K$6,1),0),"",A39+1))</f>
        <v>46110</v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>
        <f>IF(A40="","",IF(A40=EOMONTH(DATE($N$6,$K$6,1),0),"",A40+1))</f>
        <v>46111</v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>
        <f>IF(A41="","",IF(A41=EOMONTH(DATE($N$6,$K$6,1),0),"",A41+1))</f>
        <v>46112</v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tabSelected="1" zoomScale="70" zoomScaleNormal="70" workbookViewId="0">
      <selection activeCell="D52" sqref="D52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4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46113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46114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46115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46116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46117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46118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46119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46120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46121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46122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46123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46124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46125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46126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46127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46128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46129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46130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46131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46132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46133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46134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46135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46136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46137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46138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46139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46140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>
        <f>IF(A39="","",IF(A39=EOMONTH(DATE($N$6,$K$6,1),0),"",A39+1))</f>
        <v>46141</v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>
        <f>IF(A40="","",IF(A40=EOMONTH(DATE($N$6,$K$6,1),0),"",A40+1))</f>
        <v>46142</v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 t="str">
        <f>IF(A41="","",IF(A41=EOMONTH(DATE($N$6,$K$6,1),0),"",A41+1))</f>
        <v/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L52" sqref="L52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5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46143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46144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46145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46146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46147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46148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46149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46150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46151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46152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46153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46154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46155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46156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46157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46158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46159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46160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46161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46162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46163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46164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46165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46166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46167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46168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46169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46170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>
        <f>IF(A39="","",IF(A39=EOMONTH(DATE($N$6,$K$6,1),0),"",A39+1))</f>
        <v>46171</v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>
        <f>IF(A40="","",IF(A40=EOMONTH(DATE($N$6,$K$6,1),0),"",A40+1))</f>
        <v>46172</v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>
        <f>IF(A41="","",IF(A41=EOMONTH(DATE($N$6,$K$6,1),0),"",A41+1))</f>
        <v>46173</v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3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C51" sqref="C51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6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46174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46175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46176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46177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46178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46179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46180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46181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46182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46183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46184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46185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46186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46187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46188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46189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46190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46191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46192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46193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46194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46195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46196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46197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46198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46199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46200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46201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>
        <f>IF(A39="","",IF(A39=EOMONTH(DATE($N$6,$K$6,1),0),"",A39+1))</f>
        <v>46202</v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>
        <f>IF(A40="","",IF(A40=EOMONTH(DATE($N$6,$K$6,1),0),"",A40+1))</f>
        <v>46203</v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 t="str">
        <f>IF(A41="","",IF(A41=EOMONTH(DATE($N$6,$K$6,1),0),"",A41+1))</f>
        <v/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C53" sqref="C53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7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46204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46205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46206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46207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46208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46209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46210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46211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46212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46213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46214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46215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46216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46217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46218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46219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46220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46221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46222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46223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46224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46225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46226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46227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46228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46229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46230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46231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>
        <f>IF(A39="","",IF(A39=EOMONTH(DATE($N$6,$K$6,1),0),"",A39+1))</f>
        <v>46232</v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>
        <f>IF(A40="","",IF(A40=EOMONTH(DATE($N$6,$K$6,1),0),"",A40+1))</f>
        <v>46233</v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>
        <f>IF(A41="","",IF(A41=EOMONTH(DATE($N$6,$K$6,1),0),"",A41+1))</f>
        <v>46234</v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K52" sqref="K52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8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46235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46236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46237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46238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46239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46240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46241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46242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46243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46244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46245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46246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46247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46248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46249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46250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46251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46252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46253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46254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46255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46256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46257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46258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46259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46260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46261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46262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>
        <f>IF(A39="","",IF(A39=EOMONTH(DATE($N$6,$K$6,1),0),"",A39+1))</f>
        <v>46263</v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>
        <f>IF(A40="","",IF(A40=EOMONTH(DATE($N$6,$K$6,1),0),"",A40+1))</f>
        <v>46264</v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>
        <f>IF(A41="","",IF(A41=EOMONTH(DATE($N$6,$K$6,1),0),"",A41+1))</f>
        <v>46265</v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5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Q52" sqref="Q52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9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46266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46267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46268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46269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46270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46271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46272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46273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46274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46275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46276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46277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46278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46279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46280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46281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46282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46283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46284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46285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46286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46287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46288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46289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46290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46291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46292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46293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>
        <f>IF(A39="","",IF(A39=EOMONTH(DATE($N$6,$K$6,1),0),"",A39+1))</f>
        <v>46294</v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>
        <f>IF(A40="","",IF(A40=EOMONTH(DATE($N$6,$K$6,1),0),"",A40+1))</f>
        <v>46295</v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 t="str">
        <f>IF(A41="","",IF(A41=EOMONTH(DATE($N$6,$K$6,1),0),"",A41+1))</f>
        <v/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9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R53" sqref="R53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10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46296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46297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46298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46299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46300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46301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46302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46303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46304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46305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46306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46307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46308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46309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46310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46311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46312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46313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46314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46315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46316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46317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46318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46319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46320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46321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46322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46323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>
        <f>IF(A39="","",IF(A39=EOMONTH(DATE($N$6,$K$6,1),0),"",A39+1))</f>
        <v>46324</v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>
        <f>IF(A40="","",IF(A40=EOMONTH(DATE($N$6,$K$6,1),0),"",A40+1))</f>
        <v>46325</v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>
        <f>IF(A41="","",IF(A41=EOMONTH(DATE($N$6,$K$6,1),0),"",A41+1))</f>
        <v>46326</v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3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D51" sqref="D51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11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46327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46328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46329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46330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46331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46332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46333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46334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46335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46336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46337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46338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46339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46340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46341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46342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46343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46344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46345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46346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46347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46348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46349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46350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46351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46352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46353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46354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>
        <f>IF(A39="","",IF(A39=EOMONTH(DATE($N$6,$K$6,1),0),"",A39+1))</f>
        <v>46355</v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>
        <f>IF(A40="","",IF(A40=EOMONTH(DATE($N$6,$K$6,1),0),"",A40+1))</f>
        <v>46356</v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 t="str">
        <f>IF(A41="","",IF(A41=EOMONTH(DATE($N$6,$K$6,1),0),"",A41+1))</f>
        <v/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7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A53" sqref="A53"/>
    </sheetView>
  </sheetViews>
  <sheetFormatPr defaultRowHeight="12.75" x14ac:dyDescent="0.2"/>
  <cols>
    <col min="1" max="1" width="25.83203125" bestFit="1" customWidth="1"/>
    <col min="2" max="2" width="23" bestFit="1" customWidth="1"/>
    <col min="3" max="3" width="10.6640625" bestFit="1" customWidth="1"/>
    <col min="4" max="4" width="12" bestFit="1" customWidth="1"/>
    <col min="5" max="10" width="10.6640625" bestFit="1" customWidth="1"/>
    <col min="11" max="11" width="12" bestFit="1" customWidth="1"/>
    <col min="12" max="12" width="26.6640625" bestFit="1" customWidth="1"/>
    <col min="13" max="13" width="27.33203125" bestFit="1" customWidth="1"/>
    <col min="14" max="14" width="10.6640625" bestFit="1" customWidth="1"/>
    <col min="15" max="15" width="15.1640625" bestFit="1" customWidth="1"/>
    <col min="16" max="18" width="10.6640625" bestFit="1" customWidth="1"/>
    <col min="19" max="30" width="12" bestFit="1" customWidth="1"/>
    <col min="31" max="34" width="6.33203125" bestFit="1" customWidth="1"/>
    <col min="35" max="35" width="14.6640625" bestFit="1" customWidth="1"/>
  </cols>
  <sheetData>
    <row r="1" spans="1:35" x14ac:dyDescent="0.2">
      <c r="A1" s="13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3" t="s">
        <v>2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</row>
    <row r="2" spans="1:35" x14ac:dyDescent="0.2">
      <c r="A2" s="13"/>
      <c r="B2" s="17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23" t="s">
        <v>3</v>
      </c>
      <c r="O2" s="24"/>
      <c r="P2" s="25"/>
      <c r="Q2" s="23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1" t="s">
        <v>4</v>
      </c>
    </row>
    <row r="3" spans="1:35" x14ac:dyDescent="0.2">
      <c r="A3" s="13"/>
      <c r="B3" s="20"/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3" t="s">
        <v>5</v>
      </c>
      <c r="O3" s="24"/>
      <c r="P3" s="25"/>
      <c r="Q3" s="23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1" t="s">
        <v>6</v>
      </c>
    </row>
    <row r="4" spans="1:35" x14ac:dyDescent="0.2">
      <c r="A4" s="26" t="s">
        <v>108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8"/>
    </row>
    <row r="5" spans="1:35" ht="18.75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</row>
    <row r="6" spans="1:35" ht="15.75" x14ac:dyDescent="0.25">
      <c r="A6" s="2" t="s">
        <v>7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12</v>
      </c>
      <c r="L6" s="3"/>
      <c r="M6" s="3" t="s">
        <v>9</v>
      </c>
      <c r="N6" s="30">
        <v>2026</v>
      </c>
      <c r="O6" s="3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31" t="s">
        <v>10</v>
      </c>
      <c r="B8" s="33" t="s">
        <v>11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/>
      <c r="AI8" s="36" t="s">
        <v>12</v>
      </c>
    </row>
    <row r="9" spans="1:35" x14ac:dyDescent="0.2">
      <c r="A9" s="31"/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7"/>
    </row>
    <row r="10" spans="1:35" ht="15.75" x14ac:dyDescent="0.25">
      <c r="A10" s="31"/>
      <c r="B10" s="5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  <c r="I10" s="6" t="s">
        <v>21</v>
      </c>
      <c r="J10" s="6" t="s">
        <v>22</v>
      </c>
      <c r="K10" s="6" t="s">
        <v>23</v>
      </c>
      <c r="L10" s="6" t="s">
        <v>24</v>
      </c>
      <c r="M10" s="6" t="s">
        <v>25</v>
      </c>
      <c r="N10" s="6" t="s">
        <v>26</v>
      </c>
      <c r="O10" s="6" t="s">
        <v>27</v>
      </c>
      <c r="P10" s="6" t="s">
        <v>28</v>
      </c>
      <c r="Q10" s="6" t="s">
        <v>29</v>
      </c>
      <c r="R10" s="6" t="s">
        <v>30</v>
      </c>
      <c r="S10" s="6" t="s">
        <v>31</v>
      </c>
      <c r="T10" s="6" t="s">
        <v>32</v>
      </c>
      <c r="U10" s="6" t="s">
        <v>33</v>
      </c>
      <c r="V10" s="6" t="s">
        <v>34</v>
      </c>
      <c r="W10" s="6" t="s">
        <v>35</v>
      </c>
      <c r="X10" s="6" t="s">
        <v>36</v>
      </c>
      <c r="Y10" s="6" t="s">
        <v>37</v>
      </c>
      <c r="Z10" s="6" t="s">
        <v>38</v>
      </c>
      <c r="AA10" s="6" t="s">
        <v>39</v>
      </c>
      <c r="AB10" s="6" t="s">
        <v>40</v>
      </c>
      <c r="AC10" s="6" t="s">
        <v>41</v>
      </c>
      <c r="AD10" s="6" t="s">
        <v>42</v>
      </c>
      <c r="AE10" s="6" t="s">
        <v>43</v>
      </c>
      <c r="AF10" s="6" t="s">
        <v>44</v>
      </c>
      <c r="AG10" s="6" t="s">
        <v>45</v>
      </c>
      <c r="AH10" s="6" t="s">
        <v>46</v>
      </c>
      <c r="AI10" s="37"/>
    </row>
    <row r="11" spans="1:35" ht="15.75" x14ac:dyDescent="0.25">
      <c r="A11" s="32"/>
      <c r="B11" s="5" t="s">
        <v>47</v>
      </c>
      <c r="C11" s="7" t="s">
        <v>48</v>
      </c>
      <c r="D11" s="7" t="s">
        <v>49</v>
      </c>
      <c r="E11" s="7" t="s">
        <v>50</v>
      </c>
      <c r="F11" s="7" t="s">
        <v>51</v>
      </c>
      <c r="G11" s="7" t="s">
        <v>52</v>
      </c>
      <c r="H11" s="7" t="s">
        <v>53</v>
      </c>
      <c r="I11" s="7" t="s">
        <v>54</v>
      </c>
      <c r="J11" s="7" t="s">
        <v>55</v>
      </c>
      <c r="K11" s="7" t="s">
        <v>56</v>
      </c>
      <c r="L11" s="7" t="s">
        <v>57</v>
      </c>
      <c r="M11" s="7" t="s">
        <v>58</v>
      </c>
      <c r="N11" s="7" t="s">
        <v>59</v>
      </c>
      <c r="O11" s="7" t="s">
        <v>60</v>
      </c>
      <c r="P11" s="7" t="s">
        <v>61</v>
      </c>
      <c r="Q11" s="7" t="s">
        <v>62</v>
      </c>
      <c r="R11" s="7" t="s">
        <v>63</v>
      </c>
      <c r="S11" s="7" t="s">
        <v>64</v>
      </c>
      <c r="T11" s="7" t="s">
        <v>65</v>
      </c>
      <c r="U11" s="7" t="s">
        <v>66</v>
      </c>
      <c r="V11" s="7" t="s">
        <v>67</v>
      </c>
      <c r="W11" s="7" t="s">
        <v>68</v>
      </c>
      <c r="X11" s="7" t="s">
        <v>69</v>
      </c>
      <c r="Y11" s="7" t="s">
        <v>70</v>
      </c>
      <c r="Z11" s="7" t="s">
        <v>71</v>
      </c>
      <c r="AA11" s="7" t="s">
        <v>72</v>
      </c>
      <c r="AB11" s="7" t="s">
        <v>73</v>
      </c>
      <c r="AC11" s="7" t="s">
        <v>74</v>
      </c>
      <c r="AD11" s="7" t="s">
        <v>75</v>
      </c>
      <c r="AE11" s="7"/>
      <c r="AF11" s="7"/>
      <c r="AG11" s="7"/>
      <c r="AH11" s="7"/>
      <c r="AI11" s="38"/>
    </row>
    <row r="12" spans="1:35" ht="15.75" x14ac:dyDescent="0.2">
      <c r="A12" s="39">
        <f>DATE(N6,K6,1)</f>
        <v>46357</v>
      </c>
      <c r="B12" s="40"/>
      <c r="C12" s="8" t="s">
        <v>76</v>
      </c>
      <c r="D12" s="8" t="s">
        <v>77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  <c r="J12" s="8" t="s">
        <v>83</v>
      </c>
      <c r="K12" s="8" t="s">
        <v>84</v>
      </c>
      <c r="L12" s="8" t="s">
        <v>85</v>
      </c>
      <c r="M12" s="8" t="s">
        <v>86</v>
      </c>
      <c r="N12" s="8" t="s">
        <v>87</v>
      </c>
      <c r="O12" s="8" t="s">
        <v>88</v>
      </c>
      <c r="P12" s="8" t="s">
        <v>89</v>
      </c>
      <c r="Q12" s="8" t="s">
        <v>90</v>
      </c>
      <c r="R12" s="8" t="s">
        <v>91</v>
      </c>
      <c r="S12" s="8" t="s">
        <v>92</v>
      </c>
      <c r="T12" s="8" t="s">
        <v>93</v>
      </c>
      <c r="U12" s="8" t="s">
        <v>94</v>
      </c>
      <c r="V12" s="8" t="s">
        <v>95</v>
      </c>
      <c r="W12" s="8" t="s">
        <v>96</v>
      </c>
      <c r="X12" s="8" t="s">
        <v>97</v>
      </c>
      <c r="Y12" s="8" t="s">
        <v>98</v>
      </c>
      <c r="Z12" s="8" t="s">
        <v>99</v>
      </c>
      <c r="AA12" s="8" t="s">
        <v>100</v>
      </c>
      <c r="AB12" s="8" t="s">
        <v>101</v>
      </c>
      <c r="AC12" s="8" t="s">
        <v>102</v>
      </c>
      <c r="AD12" s="8" t="s">
        <v>103</v>
      </c>
      <c r="AE12" s="8"/>
      <c r="AF12" s="8"/>
      <c r="AG12" s="8"/>
      <c r="AH12" s="8"/>
      <c r="AI12" s="9"/>
    </row>
    <row r="13" spans="1:35" ht="15.75" x14ac:dyDescent="0.2">
      <c r="A13" s="39">
        <f>A12+1</f>
        <v>46358</v>
      </c>
      <c r="B13" s="4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 spans="1:35" ht="15.75" x14ac:dyDescent="0.2">
      <c r="A14" s="39">
        <f t="shared" ref="A14:A39" si="0">A13+1</f>
        <v>46359</v>
      </c>
      <c r="B14" s="40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</row>
    <row r="15" spans="1:35" ht="15.75" x14ac:dyDescent="0.2">
      <c r="A15" s="39">
        <f t="shared" si="0"/>
        <v>46360</v>
      </c>
      <c r="B15" s="4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spans="1:35" ht="15.75" x14ac:dyDescent="0.2">
      <c r="A16" s="39">
        <f t="shared" si="0"/>
        <v>46361</v>
      </c>
      <c r="B16" s="4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</row>
    <row r="17" spans="1:35" ht="15.75" x14ac:dyDescent="0.2">
      <c r="A17" s="39">
        <f t="shared" si="0"/>
        <v>46362</v>
      </c>
      <c r="B17" s="4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 spans="1:35" ht="15.75" x14ac:dyDescent="0.2">
      <c r="A18" s="39">
        <f t="shared" si="0"/>
        <v>46363</v>
      </c>
      <c r="B18" s="40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</row>
    <row r="19" spans="1:35" ht="15.75" x14ac:dyDescent="0.2">
      <c r="A19" s="39">
        <f t="shared" si="0"/>
        <v>46364</v>
      </c>
      <c r="B19" s="4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 spans="1:35" ht="15.75" x14ac:dyDescent="0.2">
      <c r="A20" s="39">
        <f t="shared" si="0"/>
        <v>46365</v>
      </c>
      <c r="B20" s="4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</row>
    <row r="21" spans="1:35" ht="15.75" x14ac:dyDescent="0.2">
      <c r="A21" s="39">
        <f t="shared" si="0"/>
        <v>46366</v>
      </c>
      <c r="B21" s="40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 spans="1:35" ht="15.75" x14ac:dyDescent="0.2">
      <c r="A22" s="39">
        <f t="shared" si="0"/>
        <v>46367</v>
      </c>
      <c r="B22" s="4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</row>
    <row r="23" spans="1:35" ht="15.75" x14ac:dyDescent="0.2">
      <c r="A23" s="39">
        <f t="shared" si="0"/>
        <v>46368</v>
      </c>
      <c r="B23" s="40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 spans="1:35" ht="15.75" x14ac:dyDescent="0.2">
      <c r="A24" s="39">
        <f t="shared" si="0"/>
        <v>46369</v>
      </c>
      <c r="B24" s="40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</row>
    <row r="25" spans="1:35" ht="15.75" x14ac:dyDescent="0.2">
      <c r="A25" s="39">
        <f t="shared" si="0"/>
        <v>46370</v>
      </c>
      <c r="B25" s="40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 spans="1:35" ht="15.75" x14ac:dyDescent="0.2">
      <c r="A26" s="39">
        <f t="shared" si="0"/>
        <v>46371</v>
      </c>
      <c r="B26" s="40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</row>
    <row r="27" spans="1:35" ht="15.75" x14ac:dyDescent="0.2">
      <c r="A27" s="39">
        <f t="shared" si="0"/>
        <v>46372</v>
      </c>
      <c r="B27" s="4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 spans="1:35" ht="15.75" x14ac:dyDescent="0.2">
      <c r="A28" s="39">
        <f t="shared" si="0"/>
        <v>46373</v>
      </c>
      <c r="B28" s="4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</row>
    <row r="29" spans="1:35" ht="15.75" x14ac:dyDescent="0.2">
      <c r="A29" s="39">
        <f t="shared" si="0"/>
        <v>46374</v>
      </c>
      <c r="B29" s="4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 spans="1:35" ht="15.75" x14ac:dyDescent="0.2">
      <c r="A30" s="39">
        <f t="shared" si="0"/>
        <v>46375</v>
      </c>
      <c r="B30" s="4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</row>
    <row r="31" spans="1:35" ht="15.75" x14ac:dyDescent="0.2">
      <c r="A31" s="39">
        <f t="shared" si="0"/>
        <v>46376</v>
      </c>
      <c r="B31" s="4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 spans="1:35" ht="15.75" x14ac:dyDescent="0.2">
      <c r="A32" s="39">
        <f t="shared" si="0"/>
        <v>46377</v>
      </c>
      <c r="B32" s="4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</row>
    <row r="33" spans="1:35" ht="15.75" x14ac:dyDescent="0.2">
      <c r="A33" s="39">
        <f t="shared" si="0"/>
        <v>46378</v>
      </c>
      <c r="B33" s="4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 spans="1:35" ht="15.75" x14ac:dyDescent="0.2">
      <c r="A34" s="39">
        <f>A33+1</f>
        <v>46379</v>
      </c>
      <c r="B34" s="4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</row>
    <row r="35" spans="1:35" ht="15.75" x14ac:dyDescent="0.2">
      <c r="A35" s="39">
        <f t="shared" si="0"/>
        <v>46380</v>
      </c>
      <c r="B35" s="4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 spans="1:35" ht="15.75" x14ac:dyDescent="0.2">
      <c r="A36" s="39">
        <f t="shared" si="0"/>
        <v>46381</v>
      </c>
      <c r="B36" s="4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</row>
    <row r="37" spans="1:35" ht="15.75" x14ac:dyDescent="0.2">
      <c r="A37" s="39">
        <f t="shared" si="0"/>
        <v>46382</v>
      </c>
      <c r="B37" s="4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 spans="1:35" ht="15.75" x14ac:dyDescent="0.2">
      <c r="A38" s="39">
        <f t="shared" si="0"/>
        <v>46383</v>
      </c>
      <c r="B38" s="4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</row>
    <row r="39" spans="1:35" ht="15.75" x14ac:dyDescent="0.2">
      <c r="A39" s="39">
        <f t="shared" si="0"/>
        <v>46384</v>
      </c>
      <c r="B39" s="4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 spans="1:35" ht="15.75" x14ac:dyDescent="0.2">
      <c r="A40" s="39">
        <f>IF(A39="","",IF(A39=EOMONTH(DATE($N$6,$K$6,1),0),"",A39+1))</f>
        <v>46385</v>
      </c>
      <c r="B40" s="4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</row>
    <row r="41" spans="1:35" ht="15.75" x14ac:dyDescent="0.2">
      <c r="A41" s="39">
        <f>IF(A40="","",IF(A40=EOMONTH(DATE($N$6,$K$6,1),0),"",A40+1))</f>
        <v>46386</v>
      </c>
      <c r="B41" s="4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 spans="1:35" ht="15.75" x14ac:dyDescent="0.2">
      <c r="A42" s="39">
        <f>IF(A41="","",IF(A41=EOMONTH(DATE($N$6,$K$6,1),0),"",A41+1))</f>
        <v>46387</v>
      </c>
      <c r="B42" s="4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</row>
    <row r="43" spans="1:35" ht="13.5" x14ac:dyDescent="0.25">
      <c r="A43" s="10" t="s">
        <v>104</v>
      </c>
      <c r="B43" s="41" t="s">
        <v>105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</row>
    <row r="44" spans="1:35" x14ac:dyDescent="0.2">
      <c r="A44" s="12"/>
      <c r="B44" s="11" t="s">
        <v>106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 t="s">
        <v>107</v>
      </c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AI4"/>
    <mergeCell ref="A5:AI5"/>
    <mergeCell ref="N6:O6"/>
    <mergeCell ref="A8:A11"/>
    <mergeCell ref="B8:AH8"/>
    <mergeCell ref="AI8:AI11"/>
    <mergeCell ref="A1:A3"/>
    <mergeCell ref="B1:M3"/>
    <mergeCell ref="N1:AI1"/>
    <mergeCell ref="N2:P2"/>
    <mergeCell ref="Q2:AH2"/>
    <mergeCell ref="N3:P3"/>
    <mergeCell ref="Q3:A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2025-12-08T02:22:49Z</dcterms:created>
  <dcterms:modified xsi:type="dcterms:W3CDTF">2026-04-01T03:48:32Z</dcterms:modified>
</cp:coreProperties>
</file>