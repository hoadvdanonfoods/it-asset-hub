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1\"/>
    </mc:Choice>
  </mc:AlternateContent>
  <bookViews>
    <workbookView xWindow="0" yWindow="0" windowWidth="28800" windowHeight="12330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<sst xmlns="http://schemas.openxmlformats.org/spreadsheetml/2006/main" count="2566" uniqueCount="218">
  <si>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</si>
  <si>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</si>
  <si>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</si>
  <si>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</si>
  <si>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</si>
  <si>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</si>
  <si>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</si>
  <si>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190.180.170.5 (NM1)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</si>
  <si>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</si>
  <si>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</si>
  <si>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</si>
  <si>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</si>
  <si>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</si>
  <si>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</si>
  <si>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</si>
  <si>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</si>
  <si>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</si>
  <si>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</si>
  <si>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</si>
  <si>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</si>
  <si>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</si>
  <si>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</si>
  <si>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</si>
  <si>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</si>
  <si>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</si>
  <si>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</si>
  <si>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</si>
  <si>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</si>
  <si>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</si>
  <si>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</si>
  <si>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</si>
  <si>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</si>
  <si>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</si>
  <si>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</si>
  <si>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</si>
  <si>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</si>
  <si>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</si>
  <si>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</si>
  <si>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</si>
  <si>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</si>
  <si>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</si>
  <si>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</si>
  <si>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</si>
  <si>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</si>
  <si>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</si>
  <si>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</si>
  <si>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</si>
  <si>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</si>
  <si>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</si>
  <si>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</si>
  <si>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</si>
  <si>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</si>
  <si>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</si>
  <si>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</si>
  <si>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</si>
  <si>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</si>
  <si>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</si>
  <si>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</si>
  <si>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</si>
  <si>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</si>
  <si>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</si>
  <si>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</si>
  <si>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</si>
  <si>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</si>
  <si>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</si>
  <si>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</si>
  <si>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</si>
  <si>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</si>
  <si>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</si>
  <si>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</si>
  <si>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</si>
  <si>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</si>
  <si>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</si>
  <si>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</si>
  <si>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</si>
  <si>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</si>
  <si>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</si>
  <si>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</si>
  <si>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Tên Camera</t>
  </si>
  <si>
    <t>Corridor downstair 01</t>
  </si>
  <si>
    <t>Corridor downstair 02</t>
  </si>
  <si>
    <t>Corridor downstair 03_Z7</t>
  </si>
  <si>
    <t>Corridor downstair 04_Z7</t>
  </si>
  <si>
    <t>Corridor downstair 05_Z7</t>
  </si>
  <si>
    <t>Corridor Upstair 01</t>
  </si>
  <si>
    <t>Oil-Filter-Room1_Z8</t>
  </si>
  <si>
    <t>Finger Production 01</t>
  </si>
  <si>
    <t>Finger Production 02-C142_Z5</t>
  </si>
  <si>
    <t>Tool WH-C143_Z5</t>
  </si>
  <si>
    <t>MAINTENANCE_Z3</t>
  </si>
  <si>
    <t>WasteWater Control Room</t>
  </si>
  <si>
    <t>Packaging-Receiving_Z5</t>
  </si>
  <si>
    <t>Dock 9_Z5</t>
  </si>
  <si>
    <t>Corridor Upstair 02-C148_Z5</t>
  </si>
  <si>
    <t>Corridor Upstair 03-C149_Z5</t>
  </si>
  <si>
    <t>Blow Moldi 03_Z5</t>
  </si>
  <si>
    <t>Dry New 01</t>
  </si>
  <si>
    <t>Dry New 02</t>
  </si>
  <si>
    <t>Packing Material 01_Z7</t>
  </si>
  <si>
    <t>Packing WH -C154-Z7</t>
  </si>
  <si>
    <t>New PK 02</t>
  </si>
  <si>
    <t>Blow Moldi 4</t>
  </si>
  <si>
    <t>VH02 C109Z5</t>
  </si>
  <si>
    <t>Corridor DownStair 06-C126-Z5</t>
  </si>
  <si>
    <t>Corridor DownStair 07</t>
  </si>
  <si>
    <t>Corridor Downstair 08-C156-Z5</t>
  </si>
  <si>
    <t>Washing-01 C171-Z05</t>
  </si>
  <si>
    <t>Packing WH Upstair 01-C158-Z5</t>
  </si>
  <si>
    <t>Packing WH Upstair 02-C159-Z5</t>
  </si>
  <si>
    <t>Washing-02 C172Z06</t>
  </si>
  <si>
    <t>Packing WH DownStair 01-C119-Z7</t>
  </si>
  <si>
    <t>LAB-01 C120ZZ12</t>
  </si>
  <si>
    <t>LAB-02 C121Z12</t>
  </si>
  <si>
    <t>Finger Production 04-C140_Z7</t>
  </si>
  <si>
    <t>Washing Room P1 C174Z9</t>
  </si>
  <si>
    <t>Loker-01 P1 C28Z03</t>
  </si>
  <si>
    <t>ESCALATOR_IT</t>
  </si>
  <si>
    <t>New Packing Room 01 C173</t>
  </si>
  <si>
    <t>Corridor Upstair 04_ IT</t>
  </si>
  <si>
    <t>Corridor Upstair 05_IT</t>
  </si>
  <si>
    <t>Corridor Upstair 06- IT</t>
  </si>
  <si>
    <t>Corridor Upstair 07- IT</t>
  </si>
  <si>
    <t>Corridor Upstair 08-IT</t>
  </si>
  <si>
    <t>Corridor Upstair 09-IT</t>
  </si>
  <si>
    <t>Maintenance tools Wh</t>
  </si>
  <si>
    <t>Security Gate 05 C176Z26</t>
  </si>
  <si>
    <t>Security Gate 04 F0 C127Z25</t>
  </si>
  <si>
    <t>Security Gate 04 F1 C128Z25</t>
  </si>
  <si>
    <t>Security Gate 01 C179Z01</t>
  </si>
  <si>
    <t>Restroom Gate 01 C180Z01</t>
  </si>
  <si>
    <t>Security Gate 02 C181Z02</t>
  </si>
  <si>
    <t>Security Gate03 C182Z03</t>
  </si>
  <si>
    <t>Restroom Gate03 C183Z03</t>
  </si>
  <si>
    <t>GAS Area C184Z9</t>
  </si>
  <si>
    <t>Hallway-01 C187Z05</t>
  </si>
  <si>
    <t>Hallway-02 C186Z5</t>
  </si>
  <si>
    <t>Hallway-03 C185Z5</t>
  </si>
  <si>
    <t>Hallway-04 C188Z05</t>
  </si>
  <si>
    <t>LAB-03 C136Z12</t>
  </si>
  <si>
    <t>LAB-04 C170Z12</t>
  </si>
  <si>
    <t>Locker-02 P1 C189Z03</t>
  </si>
  <si>
    <t>Corridor LAB C190Z12</t>
  </si>
  <si>
    <t>Recycle Bin PK P1 C191Z6</t>
  </si>
  <si>
    <t>Ip Tương Ứng</t>
  </si>
  <si>
    <t>.74</t>
  </si>
  <si>
    <t>.75</t>
  </si>
  <si>
    <t>.76</t>
  </si>
  <si>
    <t>.77</t>
  </si>
  <si>
    <t>.78</t>
  </si>
  <si>
    <t>.114</t>
  </si>
  <si>
    <t>.85</t>
  </si>
  <si>
    <t>.141</t>
  </si>
  <si>
    <t>.142</t>
  </si>
  <si>
    <t>.143</t>
  </si>
  <si>
    <t>.102</t>
  </si>
  <si>
    <t>.34</t>
  </si>
  <si>
    <t>.72</t>
  </si>
  <si>
    <t>.73</t>
  </si>
  <si>
    <t>.148</t>
  </si>
  <si>
    <t>.149</t>
  </si>
  <si>
    <t>.68</t>
  </si>
  <si>
    <t>.164</t>
  </si>
  <si>
    <t>.165</t>
  </si>
  <si>
    <t>.118</t>
  </si>
  <si>
    <t>.154</t>
  </si>
  <si>
    <t>.169</t>
  </si>
  <si>
    <t>.168</t>
  </si>
  <si>
    <t>.109</t>
  </si>
  <si>
    <t>.126</t>
  </si>
  <si>
    <t>.155</t>
  </si>
  <si>
    <t>.156</t>
  </si>
  <si>
    <t>.171</t>
  </si>
  <si>
    <t>.158</t>
  </si>
  <si>
    <t>.159</t>
  </si>
  <si>
    <t>.172</t>
  </si>
  <si>
    <t>.119</t>
  </si>
  <si>
    <t>.120</t>
  </si>
  <si>
    <t>.121</t>
  </si>
  <si>
    <t>.140</t>
  </si>
  <si>
    <t>.174</t>
  </si>
  <si>
    <t>.28</t>
  </si>
  <si>
    <t>.87</t>
  </si>
  <si>
    <t>.173</t>
  </si>
  <si>
    <t>.95</t>
  </si>
  <si>
    <t>.96</t>
  </si>
  <si>
    <t>.97</t>
  </si>
  <si>
    <t>.98</t>
  </si>
  <si>
    <t>.99</t>
  </si>
  <si>
    <t>.100</t>
  </si>
  <si>
    <t>.175</t>
  </si>
  <si>
    <t>.176</t>
  </si>
  <si>
    <t>.177</t>
  </si>
  <si>
    <t>.178</t>
  </si>
  <si>
    <t>.179</t>
  </si>
  <si>
    <t>.180</t>
  </si>
  <si>
    <t>.181</t>
  </si>
  <si>
    <t>.182</t>
  </si>
  <si>
    <t>.183</t>
  </si>
  <si>
    <t>.184</t>
  </si>
  <si>
    <t>.187</t>
  </si>
  <si>
    <t>.186</t>
  </si>
  <si>
    <t>.185</t>
  </si>
  <si>
    <t>.188</t>
  </si>
  <si>
    <t>.136</t>
  </si>
  <si>
    <t>.170</t>
  </si>
  <si>
    <t>.189</t>
  </si>
  <si>
    <t>.190</t>
  </si>
  <si>
    <t>.191</t>
  </si>
  <si>
    <t>Ghi chú:</t>
  </si>
  <si>
    <t>Người xem xét</t>
  </si>
  <si>
    <t>Khu vực:  MP3</t>
  </si>
  <si>
    <t xml:space="preserve">Khu vực:  MP3  </t>
  </si>
  <si>
    <t>Không check ( bình thường )</t>
  </si>
  <si>
    <t>F là Fail ( mất tín hiệu )</t>
  </si>
  <si>
    <t>F</t>
  </si>
  <si>
    <t>Treo camera</t>
  </si>
  <si>
    <t>Oxi hóa đầu J45 và đầu camera</t>
  </si>
  <si>
    <t>Hư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</si>
</sst>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2" borderId="1" xfId="0" applyFont="1" applyFill="1" applyBorder="1" applyAlignment="1">
      <alignment horizontal="left" vertical="center" indent="1"/>
    </xf>
    <xf numFmtId="49" fontId="9" fillId="0" borderId="1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opLeftCell="C1" zoomScale="70" zoomScaleNormal="70" workbookViewId="0">
      <selection activeCell="G36" sqref="G36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46023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46024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46025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46026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46027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46028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46029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46030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46031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46032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46033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46034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46035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46036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46037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46038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46039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46040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46041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46042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46043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46044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46045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46046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46047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46048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46049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46050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46051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46052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46053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38" sqref="I38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2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46054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46055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 t="s">
        <v>214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 t="s">
        <v>215</v>
      </c>
    </row>
    <row r="14" spans="1:67" ht="15.75" x14ac:dyDescent="0.25">
      <c r="A14" s="42">
        <f t="shared" ref="A14:A39" si="0">A13+1</f>
        <v>46056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46057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46058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46059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46060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46061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46062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46063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46064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46065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46066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46067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46068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46069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46070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46071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46072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46073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46074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46075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46076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46077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46078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46079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46080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46081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 t="str">
        <f>IF(A39="","",IF(A39=EOMONTH(DATE($N$6,$K$6,1),0),"",A39+1))</f>
        <v/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 t="str">
        <f>IF(A40="","",IF(A40=EOMONTH(DATE($N$6,$K$6,1),0),"",A40+1))</f>
        <v/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 t="str">
        <f>IF(A41="","",IF(A41=EOMONTH(DATE($N$6,$K$6,1),0),"",A41+1))</f>
        <v/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U15" sqref="U15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30.5703125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/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3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46082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46083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46084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46085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214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 t="s">
        <v>216</v>
      </c>
    </row>
    <row r="16" spans="1:67" ht="15.75" x14ac:dyDescent="0.25">
      <c r="A16" s="42">
        <f t="shared" si="0"/>
        <v>46086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46087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46088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46089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46090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46091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46092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46093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46094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46095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46096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46097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46098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46099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46100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46101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46102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46103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46104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46105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46106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46107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46108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46109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46110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46111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46112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abSelected="1" topLeftCell="AG1" zoomScale="70" zoomScaleNormal="70" workbookViewId="0">
      <selection activeCell="AQ10" sqref="AQ10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30.7109375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4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46113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46114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46115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 t="s">
        <v>214</v>
      </c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 t="s">
        <v>217</v>
      </c>
    </row>
    <row r="15" spans="1:67" ht="15.75" x14ac:dyDescent="0.25">
      <c r="A15" s="42">
        <f t="shared" si="0"/>
        <v>46116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 t="s">
        <v>214</v>
      </c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 t="s">
        <v>217</v>
      </c>
    </row>
    <row r="16" spans="1:67" ht="15.75" x14ac:dyDescent="0.25">
      <c r="A16" s="42">
        <f t="shared" si="0"/>
        <v>46117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 t="s">
        <v>214</v>
      </c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 t="s">
        <v>217</v>
      </c>
    </row>
    <row r="17" spans="1:67" ht="15.75" x14ac:dyDescent="0.25">
      <c r="A17" s="42">
        <f t="shared" si="0"/>
        <v>46118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46119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46120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46121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46122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46123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46124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46125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46126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46127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46128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46129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46130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46131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46132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46133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46134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46135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46136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46137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46138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46139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46140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46141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46142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 t="str">
        <f>IF(A41="","",IF(A41=EOMONTH(DATE($N$6,$K$6,1),0),"",A41+1))</f>
        <v/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O23" sqref="BO23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21.42578125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5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46143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46144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46145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46146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46147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46148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46149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46150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46151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46152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46153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46154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 t="s">
        <v>214</v>
      </c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46155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46156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46157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46158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46159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46160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46161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46162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46163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46164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46165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46166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46167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46168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46169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46170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46171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46172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46173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G29" sqref="G29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6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46174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46175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46176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46177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46178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46179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46180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46181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46182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46183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46184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46185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46186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46187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46188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46189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46190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46191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46192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46193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46194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46195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46196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46197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46198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46199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46200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46201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46202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46203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 t="str">
        <f>IF(A41="","",IF(A41=EOMONTH(DATE($N$6,$K$6,1),0),"",A41+1))</f>
        <v/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O15" sqref="BO15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20.140625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7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46204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46205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46206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46207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46208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46209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46210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46211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46212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46213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46214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46215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46216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46217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46218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46219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46220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46221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46222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46223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46224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46225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46226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46227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46228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46229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46230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46231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46232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46233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46234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opLeftCell="C1" zoomScale="70" zoomScaleNormal="70" workbookViewId="0">
      <selection activeCell="C12" sqref="C12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211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8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46235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46236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46237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46238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46239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46240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46241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46242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46243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46244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46245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46246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46247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46248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46249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46250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46251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46252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46253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46254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46255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46256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46257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46258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46259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46260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46261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46262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46263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46264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46265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opLeftCell="E1" zoomScale="70" zoomScaleNormal="70" workbookViewId="0">
      <selection activeCell="K38" sqref="K38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211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9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46266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46267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1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46268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1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46269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1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46270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1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46271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1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46272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1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46273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1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46274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1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46275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1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46276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1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46277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1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46278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1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46279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1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46280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1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46281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1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46282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1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46283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1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46284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1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46285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46286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46287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46288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46289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46290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46291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46292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46293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46294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46295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 t="str">
        <f>IF(A41="","",IF(A41=EOMONTH(DATE($N$6,$K$6,1),0),"",A41+1))</f>
        <v/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32" sqref="I32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10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46296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46297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46298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46299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46300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46301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46302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46303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46304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46305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46306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46307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46308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46309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46310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46311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46312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46313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46314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46315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46316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46317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46318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46319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46320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46321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46322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46323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46324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46325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46326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H35" sqref="H35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11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46327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46328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46329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46330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46331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46332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46333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46334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46335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46336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46337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46338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46339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46340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46341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46342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46343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46344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46345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46346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46347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46348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46349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46350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46351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46352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46353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46354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46355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46356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 t="str">
        <f>IF(A41="","",IF(A41=EOMONTH(DATE($N$6,$K$6,1),0),"",A41+1))</f>
        <v/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C24" sqref="C24"/>
    </sheetView>
  </sheetViews>
  <sheetFormatPr defaultRowHeight="15" x14ac:dyDescent="0.25"/>
  <cols>
    <col min="1" max="1" width="20" bestFit="1" customWidth="1"/>
    <col min="2" max="2" width="45" bestFit="1" customWidth="1"/>
    <col min="3" max="3" width="25.7109375" bestFit="1" customWidth="1"/>
    <col min="4" max="4" width="26" bestFit="1" customWidth="1"/>
    <col min="5" max="7" width="30.5703125" bestFit="1" customWidth="1"/>
    <col min="8" max="8" width="22.85546875" bestFit="1" customWidth="1"/>
    <col min="9" max="9" width="25" bestFit="1" customWidth="1"/>
    <col min="10" max="10" width="25.42578125" bestFit="1" customWidth="1"/>
    <col min="11" max="11" width="37.42578125" bestFit="1" customWidth="1"/>
    <col min="12" max="12" width="22.42578125" bestFit="1" customWidth="1"/>
    <col min="13" max="13" width="23" bestFit="1" customWidth="1"/>
    <col min="14" max="14" width="31.7109375" bestFit="1" customWidth="1"/>
    <col min="15" max="15" width="31.140625" bestFit="1" customWidth="1"/>
    <col min="16" max="16" width="13.85546875" bestFit="1" customWidth="1"/>
    <col min="17" max="18" width="34.5703125" bestFit="1" customWidth="1"/>
    <col min="19" max="19" width="21.7109375" bestFit="1" customWidth="1"/>
    <col min="20" max="20" width="13.85546875" bestFit="1" customWidth="1"/>
    <col min="21" max="21" width="14.28515625" bestFit="1" customWidth="1"/>
    <col min="22" max="22" width="28.5703125" bestFit="1" customWidth="1"/>
    <col min="23" max="23" width="27.28515625" bestFit="1" customWidth="1"/>
    <col min="24" max="24" width="13.85546875" bestFit="1" customWidth="1"/>
    <col min="25" max="25" width="15.7109375" bestFit="1" customWidth="1"/>
    <col min="26" max="26" width="17.140625" bestFit="1" customWidth="1"/>
    <col min="27" max="27" width="38.140625" bestFit="1" customWidth="1"/>
    <col min="28" max="28" width="26.85546875" bestFit="1" customWidth="1"/>
    <col min="29" max="29" width="37.7109375" bestFit="1" customWidth="1"/>
    <col min="30" max="30" width="26.85546875" bestFit="1" customWidth="1"/>
    <col min="31" max="31" width="38.7109375" bestFit="1" customWidth="1"/>
    <col min="32" max="32" width="39.140625" bestFit="1" customWidth="1"/>
    <col min="33" max="33" width="26.28515625" bestFit="1" customWidth="1"/>
    <col min="34" max="34" width="43.140625" bestFit="1" customWidth="1"/>
    <col min="35" max="35" width="22" bestFit="1" customWidth="1"/>
    <col min="36" max="36" width="20.28515625" bestFit="1" customWidth="1"/>
    <col min="37" max="37" width="37.42578125" bestFit="1" customWidth="1"/>
    <col min="38" max="38" width="31.140625" bestFit="1" customWidth="1"/>
    <col min="39" max="39" width="24.85546875" bestFit="1" customWidth="1"/>
    <col min="40" max="40" width="19.7109375" bestFit="1" customWidth="1"/>
    <col min="41" max="41" width="33.140625" bestFit="1" customWidth="1"/>
    <col min="42" max="42" width="27.42578125" bestFit="1" customWidth="1"/>
    <col min="43" max="43" width="26.85546875" bestFit="1" customWidth="1"/>
    <col min="44" max="45" width="27.28515625" bestFit="1" customWidth="1"/>
    <col min="46" max="47" width="26.7109375" bestFit="1" customWidth="1"/>
    <col min="48" max="48" width="27.28515625" bestFit="1" customWidth="1"/>
    <col min="49" max="49" width="32" bestFit="1" customWidth="1"/>
    <col min="50" max="50" width="35.42578125" bestFit="1" customWidth="1"/>
    <col min="51" max="51" width="35" bestFit="1" customWidth="1"/>
    <col min="52" max="52" width="31" bestFit="1" customWidth="1"/>
    <col min="53" max="53" width="32.42578125" bestFit="1" customWidth="1"/>
    <col min="54" max="54" width="31.42578125" bestFit="1" customWidth="1"/>
    <col min="55" max="55" width="31.140625" bestFit="1" customWidth="1"/>
    <col min="56" max="56" width="32.5703125" bestFit="1" customWidth="1"/>
    <col min="57" max="57" width="22.140625" bestFit="1" customWidth="1"/>
    <col min="58" max="58" width="24.85546875" bestFit="1" customWidth="1"/>
    <col min="59" max="60" width="23.85546875" bestFit="1" customWidth="1"/>
    <col min="61" max="61" width="25.28515625" bestFit="1" customWidth="1"/>
    <col min="62" max="63" width="20.7109375" bestFit="1" customWidth="1"/>
    <col min="64" max="64" width="27.85546875" bestFit="1" customWidth="1"/>
    <col min="65" max="65" width="26.7109375" bestFit="1" customWidth="1"/>
    <col min="66" max="66" width="31.7109375" bestFit="1" customWidth="1"/>
    <col min="67" max="67" width="12.5703125" bestFit="1" customWidth="1"/>
  </cols>
  <sheetData>
    <row r="1" spans="1:67" x14ac:dyDescent="0.25">
      <c r="A1" s="16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26" t="s">
        <v>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8"/>
    </row>
    <row r="2" spans="1:67" x14ac:dyDescent="0.25">
      <c r="A2" s="16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6" t="s">
        <v>3</v>
      </c>
      <c r="O2" s="27"/>
      <c r="P2" s="28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1" t="s">
        <v>4</v>
      </c>
    </row>
    <row r="3" spans="1:67" x14ac:dyDescent="0.25">
      <c r="A3" s="16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5</v>
      </c>
      <c r="O3" s="27"/>
      <c r="P3" s="28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1" t="s">
        <v>6</v>
      </c>
    </row>
    <row r="4" spans="1:67" x14ac:dyDescent="0.25">
      <c r="A4" s="29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1"/>
    </row>
    <row r="5" spans="1:67" ht="18.75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spans="1:67" ht="15.75" x14ac:dyDescent="0.25">
      <c r="A6" s="2" t="s">
        <v>210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12</v>
      </c>
      <c r="L6" s="3"/>
      <c r="M6" s="3" t="s">
        <v>9</v>
      </c>
      <c r="N6" s="33">
        <v>2026</v>
      </c>
      <c r="O6" s="3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4" t="s">
        <v>10</v>
      </c>
      <c r="B8" s="36" t="s">
        <v>11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9" t="s">
        <v>12</v>
      </c>
    </row>
    <row r="9" spans="1:67" x14ac:dyDescent="0.25">
      <c r="A9" s="34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40"/>
    </row>
    <row r="10" spans="1:67" x14ac:dyDescent="0.25">
      <c r="A10" s="34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8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7" t="s">
        <v>141</v>
      </c>
      <c r="BN10" s="7" t="s">
        <v>142</v>
      </c>
      <c r="BO10" s="40"/>
    </row>
    <row r="11" spans="1:67" x14ac:dyDescent="0.25">
      <c r="A11" s="35"/>
      <c r="B11" s="6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  <c r="G11" s="9" t="s">
        <v>148</v>
      </c>
      <c r="H11" s="9" t="s">
        <v>149</v>
      </c>
      <c r="I11" s="9" t="s">
        <v>150</v>
      </c>
      <c r="J11" s="9" t="s">
        <v>151</v>
      </c>
      <c r="K11" s="9" t="s">
        <v>152</v>
      </c>
      <c r="L11" s="9" t="s">
        <v>153</v>
      </c>
      <c r="M11" s="9" t="s">
        <v>154</v>
      </c>
      <c r="N11" s="9" t="s">
        <v>155</v>
      </c>
      <c r="O11" s="9" t="s">
        <v>156</v>
      </c>
      <c r="P11" s="9" t="s">
        <v>157</v>
      </c>
      <c r="Q11" s="9" t="s">
        <v>158</v>
      </c>
      <c r="R11" s="9" t="s">
        <v>159</v>
      </c>
      <c r="S11" s="9" t="s">
        <v>160</v>
      </c>
      <c r="T11" s="9" t="s">
        <v>161</v>
      </c>
      <c r="U11" s="9" t="s">
        <v>162</v>
      </c>
      <c r="V11" s="9" t="s">
        <v>163</v>
      </c>
      <c r="W11" s="9" t="s">
        <v>164</v>
      </c>
      <c r="X11" s="9" t="s">
        <v>165</v>
      </c>
      <c r="Y11" s="9" t="s">
        <v>166</v>
      </c>
      <c r="Z11" s="9" t="s">
        <v>167</v>
      </c>
      <c r="AA11" s="9" t="s">
        <v>168</v>
      </c>
      <c r="AB11" s="9" t="s">
        <v>169</v>
      </c>
      <c r="AC11" s="9" t="s">
        <v>170</v>
      </c>
      <c r="AD11" s="9" t="s">
        <v>171</v>
      </c>
      <c r="AE11" s="9" t="s">
        <v>172</v>
      </c>
      <c r="AF11" s="9" t="s">
        <v>173</v>
      </c>
      <c r="AG11" s="9" t="s">
        <v>174</v>
      </c>
      <c r="AH11" s="9" t="s">
        <v>175</v>
      </c>
      <c r="AI11" s="9" t="s">
        <v>176</v>
      </c>
      <c r="AJ11" s="9" t="s">
        <v>177</v>
      </c>
      <c r="AK11" s="9" t="s">
        <v>178</v>
      </c>
      <c r="AL11" s="9" t="s">
        <v>179</v>
      </c>
      <c r="AM11" s="9" t="s">
        <v>180</v>
      </c>
      <c r="AN11" s="9" t="s">
        <v>181</v>
      </c>
      <c r="AO11" s="9" t="s">
        <v>182</v>
      </c>
      <c r="AP11" s="9" t="s">
        <v>183</v>
      </c>
      <c r="AQ11" s="9" t="s">
        <v>184</v>
      </c>
      <c r="AR11" s="9" t="s">
        <v>185</v>
      </c>
      <c r="AS11" s="9" t="s">
        <v>186</v>
      </c>
      <c r="AT11" s="9" t="s">
        <v>187</v>
      </c>
      <c r="AU11" s="9" t="s">
        <v>188</v>
      </c>
      <c r="AV11" s="9" t="s">
        <v>189</v>
      </c>
      <c r="AW11" s="9" t="s">
        <v>190</v>
      </c>
      <c r="AX11" s="9" t="s">
        <v>191</v>
      </c>
      <c r="AY11" s="9" t="s">
        <v>192</v>
      </c>
      <c r="AZ11" s="9" t="s">
        <v>193</v>
      </c>
      <c r="BA11" s="9" t="s">
        <v>194</v>
      </c>
      <c r="BB11" s="9" t="s">
        <v>195</v>
      </c>
      <c r="BC11" s="9" t="s">
        <v>196</v>
      </c>
      <c r="BD11" s="9" t="s">
        <v>197</v>
      </c>
      <c r="BE11" s="9" t="s">
        <v>198</v>
      </c>
      <c r="BF11" s="9" t="s">
        <v>199</v>
      </c>
      <c r="BG11" s="9" t="s">
        <v>200</v>
      </c>
      <c r="BH11" s="9" t="s">
        <v>201</v>
      </c>
      <c r="BI11" s="9" t="s">
        <v>202</v>
      </c>
      <c r="BJ11" s="9" t="s">
        <v>203</v>
      </c>
      <c r="BK11" s="9" t="s">
        <v>204</v>
      </c>
      <c r="BL11" s="9" t="s">
        <v>205</v>
      </c>
      <c r="BM11" s="9" t="s">
        <v>206</v>
      </c>
      <c r="BN11" s="10" t="s">
        <v>207</v>
      </c>
      <c r="BO11" s="41"/>
    </row>
    <row r="12" spans="1:67" ht="15.75" x14ac:dyDescent="0.25">
      <c r="A12" s="42">
        <f>DATE(N6,K6,1)</f>
        <v>46357</v>
      </c>
      <c r="B12" s="4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 x14ac:dyDescent="0.25">
      <c r="A13" s="42">
        <f>A12+1</f>
        <v>46358</v>
      </c>
      <c r="B13" s="4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 x14ac:dyDescent="0.25">
      <c r="A14" s="42">
        <f t="shared" ref="A14:A39" si="0">A13+1</f>
        <v>46359</v>
      </c>
      <c r="B14" s="4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 x14ac:dyDescent="0.25">
      <c r="A15" s="42">
        <f t="shared" si="0"/>
        <v>46360</v>
      </c>
      <c r="B15" s="4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 x14ac:dyDescent="0.25">
      <c r="A16" s="42">
        <f t="shared" si="0"/>
        <v>46361</v>
      </c>
      <c r="B16" s="4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 x14ac:dyDescent="0.25">
      <c r="A17" s="42">
        <f t="shared" si="0"/>
        <v>46362</v>
      </c>
      <c r="B17" s="4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 x14ac:dyDescent="0.25">
      <c r="A18" s="42">
        <f t="shared" si="0"/>
        <v>46363</v>
      </c>
      <c r="B18" s="4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 x14ac:dyDescent="0.25">
      <c r="A19" s="42">
        <f t="shared" si="0"/>
        <v>46364</v>
      </c>
      <c r="B19" s="4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 x14ac:dyDescent="0.25">
      <c r="A20" s="42">
        <f t="shared" si="0"/>
        <v>46365</v>
      </c>
      <c r="B20" s="4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 x14ac:dyDescent="0.25">
      <c r="A21" s="42">
        <f t="shared" si="0"/>
        <v>46366</v>
      </c>
      <c r="B21" s="4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 x14ac:dyDescent="0.25">
      <c r="A22" s="42">
        <f t="shared" si="0"/>
        <v>46367</v>
      </c>
      <c r="B22" s="4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 x14ac:dyDescent="0.25">
      <c r="A23" s="42">
        <f t="shared" si="0"/>
        <v>46368</v>
      </c>
      <c r="B23" s="4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 x14ac:dyDescent="0.25">
      <c r="A24" s="42">
        <f t="shared" si="0"/>
        <v>46369</v>
      </c>
      <c r="B24" s="4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 x14ac:dyDescent="0.25">
      <c r="A25" s="42">
        <f t="shared" si="0"/>
        <v>46370</v>
      </c>
      <c r="B25" s="4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 x14ac:dyDescent="0.25">
      <c r="A26" s="42">
        <f t="shared" si="0"/>
        <v>46371</v>
      </c>
      <c r="B26" s="4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 x14ac:dyDescent="0.25">
      <c r="A27" s="42">
        <f t="shared" si="0"/>
        <v>46372</v>
      </c>
      <c r="B27" s="4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 x14ac:dyDescent="0.25">
      <c r="A28" s="42">
        <f t="shared" si="0"/>
        <v>46373</v>
      </c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 x14ac:dyDescent="0.25">
      <c r="A29" s="42">
        <f t="shared" si="0"/>
        <v>46374</v>
      </c>
      <c r="B29" s="4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 x14ac:dyDescent="0.25">
      <c r="A30" s="42">
        <f t="shared" si="0"/>
        <v>46375</v>
      </c>
      <c r="B30" s="4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 x14ac:dyDescent="0.25">
      <c r="A31" s="42">
        <f t="shared" si="0"/>
        <v>46376</v>
      </c>
      <c r="B31" s="4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 x14ac:dyDescent="0.25">
      <c r="A32" s="42">
        <f t="shared" si="0"/>
        <v>46377</v>
      </c>
      <c r="B32" s="4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 x14ac:dyDescent="0.25">
      <c r="A33" s="42">
        <f t="shared" si="0"/>
        <v>46378</v>
      </c>
      <c r="B33" s="4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 x14ac:dyDescent="0.25">
      <c r="A34" s="42">
        <f>A33+1</f>
        <v>46379</v>
      </c>
      <c r="B34" s="4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 x14ac:dyDescent="0.25">
      <c r="A35" s="42">
        <f t="shared" si="0"/>
        <v>46380</v>
      </c>
      <c r="B35" s="4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 x14ac:dyDescent="0.25">
      <c r="A36" s="42">
        <f t="shared" si="0"/>
        <v>46381</v>
      </c>
      <c r="B36" s="4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 x14ac:dyDescent="0.25">
      <c r="A37" s="42">
        <f t="shared" si="0"/>
        <v>46382</v>
      </c>
      <c r="B37" s="4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 x14ac:dyDescent="0.25">
      <c r="A38" s="42">
        <f t="shared" si="0"/>
        <v>46383</v>
      </c>
      <c r="B38" s="4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 x14ac:dyDescent="0.25">
      <c r="A39" s="42">
        <f t="shared" si="0"/>
        <v>46384</v>
      </c>
      <c r="B39" s="4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 x14ac:dyDescent="0.25">
      <c r="A40" s="42">
        <f>IF(A39="","",IF(A39=EOMONTH(DATE($N$6,$K$6,1),0),"",A39+1))</f>
        <v>46385</v>
      </c>
      <c r="B40" s="4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 x14ac:dyDescent="0.25">
      <c r="A41" s="42">
        <f>IF(A40="","",IF(A40=EOMONTH(DATE($N$6,$K$6,1),0),"",A40+1))</f>
        <v>46386</v>
      </c>
      <c r="B41" s="4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 x14ac:dyDescent="0.25">
      <c r="A42" s="42">
        <f>IF(A41="","",IF(A41=EOMONTH(DATE($N$6,$K$6,1),0),"",A41+1))</f>
        <v>46387</v>
      </c>
      <c r="B42" s="4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3" t="s">
        <v>208</v>
      </c>
      <c r="B43" s="44" t="s">
        <v>212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 x14ac:dyDescent="0.25">
      <c r="A44" s="15"/>
      <c r="B44" s="14" t="s">
        <v>213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2025-01-13T02:45:29Z</dcterms:created>
  <dcterms:modified xsi:type="dcterms:W3CDTF">2026-04-06T05:14:50Z</dcterms:modified>
</cp:coreProperties>
</file>