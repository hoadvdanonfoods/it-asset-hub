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 Light"/>
      <family val="2"/>
      <b val="1"/>
      <sz val="11"/>
      <scheme val="major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sz val="10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  <font>
      <name val="Times New Roman"/>
      <family val="1"/>
      <b val="1"/>
      <sz val="9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49" fontId="9" fillId="0" borderId="1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49" fontId="12" fillId="2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8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="70" zoomScaleNormal="70" workbookViewId="0">
      <selection activeCell="C31" sqref="C31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12.7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12.7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12.7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12.7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1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inlineStr">
        <is>
          <t>v</t>
        </is>
      </c>
      <c r="D18" s="19" t="inlineStr">
        <is>
          <t>v</t>
        </is>
      </c>
      <c r="E18" s="19" t="inlineStr">
        <is>
          <t>v</t>
        </is>
      </c>
      <c r="F18" s="19" t="inlineStr">
        <is>
          <t>v</t>
        </is>
      </c>
      <c r="G18" s="19" t="inlineStr">
        <is>
          <t>v</t>
        </is>
      </c>
      <c r="H18" s="19" t="inlineStr">
        <is>
          <t>v</t>
        </is>
      </c>
      <c r="I18" s="19" t="inlineStr">
        <is>
          <t>v</t>
        </is>
      </c>
      <c r="J18" s="19" t="inlineStr">
        <is>
          <t>v</t>
        </is>
      </c>
      <c r="K18" s="19" t="inlineStr">
        <is>
          <t>v</t>
        </is>
      </c>
      <c r="L18" s="19" t="inlineStr">
        <is>
          <t>v</t>
        </is>
      </c>
      <c r="M18" s="19" t="inlineStr">
        <is>
          <t>v</t>
        </is>
      </c>
      <c r="N18" s="19" t="inlineStr">
        <is>
          <t>v</t>
        </is>
      </c>
      <c r="O18" s="19" t="inlineStr">
        <is>
          <t>v</t>
        </is>
      </c>
      <c r="P18" s="19" t="inlineStr">
        <is>
          <t>v</t>
        </is>
      </c>
      <c r="Q18" s="19" t="inlineStr">
        <is>
          <t>v</t>
        </is>
      </c>
      <c r="R18" s="19" t="inlineStr">
        <is>
          <t>v</t>
        </is>
      </c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A36:B36"/>
    <mergeCell ref="S8:S9"/>
    <mergeCell ref="H3:Q3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A19:B19"/>
    <mergeCell ref="N6:O6"/>
    <mergeCell ref="A28:B28"/>
    <mergeCell ref="R2:S2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24" sqref="J24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2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54" sqref="B54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3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J32" sqref="J32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4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A5" sqref="A5:BO5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5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K32" sqref="K32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6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L51" sqref="L51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7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D38" sqref="D38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8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E30" sqref="E30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9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28" sqref="F28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10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C35" sqref="C35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11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C28" sqref="C28"/>
    </sheetView>
  </sheetViews>
  <sheetFormatPr baseColWidth="8" defaultRowHeight="12.75"/>
  <cols>
    <col width="20.83203125" customWidth="1" min="1" max="1"/>
    <col width="23.5" bestFit="1" customWidth="1" min="2" max="2"/>
    <col width="35.1640625" bestFit="1" customWidth="1" min="3" max="3"/>
    <col width="37" bestFit="1" customWidth="1" min="4" max="4"/>
    <col width="23.33203125" bestFit="1" customWidth="1" min="5" max="5"/>
    <col width="17.83203125" bestFit="1" customWidth="1" min="6" max="6"/>
    <col width="17.33203125" bestFit="1" customWidth="1" min="7" max="7"/>
    <col width="32" bestFit="1" customWidth="1" min="8" max="8"/>
    <col width="17.83203125" bestFit="1" customWidth="1" min="9" max="9"/>
    <col width="42" bestFit="1" customWidth="1" min="10" max="10"/>
    <col width="18" bestFit="1" customWidth="1" min="11" max="11"/>
    <col width="27.83203125" bestFit="1" customWidth="1" min="12" max="12"/>
    <col width="28.5" bestFit="1" customWidth="1" min="13" max="13"/>
    <col width="26.6640625" bestFit="1" customWidth="1" min="14" max="14"/>
    <col width="27.33203125" bestFit="1" customWidth="1" min="15" max="15"/>
    <col width="8" bestFit="1" customWidth="1" min="16" max="16"/>
    <col width="6.33203125" bestFit="1" customWidth="1" min="17" max="18"/>
    <col width="9.5" bestFit="1" customWidth="1" min="19" max="19"/>
    <col width="14.6640625" bestFit="1" customWidth="1" min="67" max="67"/>
  </cols>
  <sheetData>
    <row r="1" ht="20.25" customHeight="1">
      <c r="A1" s="29" t="inlineStr">
        <is>
          <t>SALA.Q2,HCM</t>
        </is>
      </c>
      <c r="B1" s="48" t="inlineStr">
        <is>
          <t>CHECK LIST CAMERA</t>
        </is>
      </c>
      <c r="C1" s="59" t="n"/>
      <c r="D1" s="59" t="n"/>
      <c r="E1" s="60" t="inlineStr">
        <is>
          <t>Ký hiệu:  EP/QĐ-02-SSOP-05-BM-04</t>
        </is>
      </c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2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  <c r="BC1" s="23" t="n"/>
      <c r="BD1" s="23" t="n"/>
      <c r="BE1" s="23" t="n"/>
      <c r="BF1" s="23" t="n"/>
      <c r="BG1" s="23" t="n"/>
      <c r="BH1" s="23" t="n"/>
      <c r="BI1" s="23" t="n"/>
      <c r="BJ1" s="23" t="n"/>
      <c r="BK1" s="23" t="n"/>
      <c r="BL1" s="23" t="n"/>
      <c r="BM1" s="23" t="n"/>
      <c r="BN1" s="23" t="n"/>
      <c r="BO1" s="23" t="n"/>
    </row>
    <row r="2" ht="20.25" customHeight="1">
      <c r="A2" s="63" t="n"/>
      <c r="B2" s="64" t="n"/>
      <c r="E2" s="65" t="inlineStr">
        <is>
          <t>Ngày ban hành: 01/11/2024</t>
        </is>
      </c>
      <c r="F2" s="66" t="n"/>
      <c r="G2" s="67" t="n"/>
      <c r="H2" s="60" t="n"/>
      <c r="I2" s="61" t="n"/>
      <c r="J2" s="61" t="n"/>
      <c r="K2" s="61" t="n"/>
      <c r="L2" s="61" t="n"/>
      <c r="M2" s="61" t="n"/>
      <c r="N2" s="61" t="n"/>
      <c r="O2" s="61" t="n"/>
      <c r="P2" s="61" t="n"/>
      <c r="Q2" s="62" t="n"/>
      <c r="R2" s="44" t="inlineStr">
        <is>
          <t>Lần sửa đổi: 00</t>
        </is>
      </c>
      <c r="S2" s="62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  <c r="BK2" s="23" t="n"/>
      <c r="BL2" s="23" t="n"/>
      <c r="BM2" s="23" t="n"/>
      <c r="BN2" s="23" t="n"/>
      <c r="BO2" s="24" t="n"/>
    </row>
    <row r="3" ht="20.25" customHeight="1">
      <c r="A3" s="68" t="n"/>
      <c r="B3" s="64" t="n"/>
      <c r="E3" s="69" t="inlineStr">
        <is>
          <t>BP biên soạn: ĐATTP</t>
        </is>
      </c>
      <c r="F3" s="59" t="n"/>
      <c r="G3" s="70" t="n"/>
      <c r="H3" s="60" t="n"/>
      <c r="I3" s="61" t="n"/>
      <c r="J3" s="61" t="n"/>
      <c r="K3" s="61" t="n"/>
      <c r="L3" s="61" t="n"/>
      <c r="M3" s="61" t="n"/>
      <c r="N3" s="61" t="n"/>
      <c r="O3" s="61" t="n"/>
      <c r="P3" s="61" t="n"/>
      <c r="Q3" s="62" t="n"/>
      <c r="R3" s="44" t="inlineStr">
        <is>
          <t>Trang: 1/1</t>
        </is>
      </c>
      <c r="S3" s="62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  <c r="BK3" s="23" t="n"/>
      <c r="BL3" s="23" t="n"/>
      <c r="BM3" s="23" t="n"/>
      <c r="BN3" s="23" t="n"/>
      <c r="BO3" s="24" t="n"/>
    </row>
    <row r="4" ht="22.5" customHeight="1">
      <c r="A4" s="71" t="inlineStr">
        <is>
          <t>ĐẦU GHI: 192.168.8.108:181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2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</row>
    <row r="5" ht="18.75" customHeight="1">
      <c r="A5" s="34" t="n"/>
    </row>
    <row r="6" ht="15.75" customHeight="1">
      <c r="A6" s="1" t="inlineStr">
        <is>
          <t>Khu vực:  HCM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 xml:space="preserve">Tháng </t>
        </is>
      </c>
      <c r="K6" s="2" t="n">
        <v>12</v>
      </c>
      <c r="L6" s="2" t="n"/>
      <c r="M6" s="2" t="inlineStr">
        <is>
          <t xml:space="preserve">Năm </t>
        </is>
      </c>
      <c r="N6" s="35" t="n">
        <v>2026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 ht="15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5.75" customHeight="1">
      <c r="A8" s="36" t="inlineStr">
        <is>
          <t>Ngày</t>
        </is>
      </c>
      <c r="B8" s="72" t="inlineStr">
        <is>
          <t>Mã số kính cần kiểm soát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2" t="n"/>
      <c r="Q8" s="3" t="n"/>
      <c r="R8" s="4" t="n"/>
      <c r="S8" s="41" t="inlineStr">
        <is>
          <t>Ghi Chú</t>
        </is>
      </c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  <c r="BC8" s="35" t="n"/>
      <c r="BD8" s="35" t="n"/>
      <c r="BE8" s="35" t="n"/>
      <c r="BF8" s="35" t="n"/>
      <c r="BG8" s="35" t="n"/>
      <c r="BH8" s="35" t="n"/>
      <c r="BI8" s="35" t="n"/>
      <c r="BJ8" s="35" t="n"/>
      <c r="BK8" s="35" t="n"/>
      <c r="BL8" s="35" t="n"/>
      <c r="BM8" s="35" t="n"/>
      <c r="BN8" s="35" t="n"/>
      <c r="BO8" s="26" t="n"/>
    </row>
    <row r="9">
      <c r="A9" s="63" t="n"/>
      <c r="B9" s="6" t="inlineStr">
        <is>
          <t>TT</t>
        </is>
      </c>
      <c r="C9" s="6" t="inlineStr">
        <is>
          <t>D1</t>
        </is>
      </c>
      <c r="D9" s="6" t="inlineStr">
        <is>
          <t>D2</t>
        </is>
      </c>
      <c r="E9" s="6" t="inlineStr">
        <is>
          <t>D3</t>
        </is>
      </c>
      <c r="F9" s="6" t="inlineStr">
        <is>
          <t>D4</t>
        </is>
      </c>
      <c r="G9" s="6" t="inlineStr">
        <is>
          <t>D5</t>
        </is>
      </c>
      <c r="H9" s="6" t="inlineStr">
        <is>
          <t>D6</t>
        </is>
      </c>
      <c r="I9" s="6" t="inlineStr">
        <is>
          <t>D7</t>
        </is>
      </c>
      <c r="J9" s="6" t="inlineStr">
        <is>
          <t>D8</t>
        </is>
      </c>
      <c r="K9" s="6" t="inlineStr">
        <is>
          <t>D9</t>
        </is>
      </c>
      <c r="L9" s="6" t="inlineStr">
        <is>
          <t>D10</t>
        </is>
      </c>
      <c r="M9" s="6" t="inlineStr">
        <is>
          <t>D11</t>
        </is>
      </c>
      <c r="N9" s="6" t="inlineStr">
        <is>
          <t>D12</t>
        </is>
      </c>
      <c r="O9" s="6" t="inlineStr">
        <is>
          <t>D13</t>
        </is>
      </c>
      <c r="P9" s="6" t="inlineStr">
        <is>
          <t>D14</t>
        </is>
      </c>
      <c r="Q9" s="6" t="inlineStr">
        <is>
          <t>D15</t>
        </is>
      </c>
      <c r="R9" s="6" t="inlineStr">
        <is>
          <t>D16</t>
        </is>
      </c>
      <c r="S9" s="68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26" t="n"/>
    </row>
    <row r="10" ht="15" customHeight="1">
      <c r="A10" s="63" t="n"/>
      <c r="B10" s="37" t="inlineStr">
        <is>
          <t>Tên Camera</t>
        </is>
      </c>
      <c r="C10" s="9" t="inlineStr">
        <is>
          <t>1F VIEW OUTDOOR LEFT</t>
        </is>
      </c>
      <c r="D10" s="9" t="inlineStr">
        <is>
          <t>1F VIEW OUTDOOR RIGHT</t>
        </is>
      </c>
      <c r="E10" s="9" t="inlineStr">
        <is>
          <t>1F ALLOWANCE</t>
        </is>
      </c>
      <c r="F10" s="9" t="inlineStr">
        <is>
          <t>1F CASHIER</t>
        </is>
      </c>
      <c r="G10" s="9" t="inlineStr">
        <is>
          <t>1F LOUNGE</t>
        </is>
      </c>
      <c r="H10" s="9" t="inlineStr">
        <is>
          <t>1F BACK DOOR/STAIR</t>
        </is>
      </c>
      <c r="I10" s="9" t="inlineStr">
        <is>
          <t>2F LOUNGE</t>
        </is>
      </c>
      <c r="J10" s="9" t="inlineStr">
        <is>
          <t>2F BACK DOOR/ALLOWANCE</t>
        </is>
      </c>
      <c r="K10" s="9" t="inlineStr">
        <is>
          <t>2F KITCHEN</t>
        </is>
      </c>
      <c r="L10" s="9" t="inlineStr">
        <is>
          <t>2F COOKING ZONE</t>
        </is>
      </c>
      <c r="M10" s="9" t="inlineStr">
        <is>
          <t>3F OFFICES FORNT</t>
        </is>
      </c>
      <c r="N10" s="9" t="inlineStr">
        <is>
          <t>3F OFFICES REAR</t>
        </is>
      </c>
      <c r="O10" s="9" t="inlineStr">
        <is>
          <t>3F View Back Door</t>
        </is>
      </c>
      <c r="P10" s="10" t="inlineStr">
        <is>
          <t>4F</t>
        </is>
      </c>
      <c r="Q10" s="9" t="n"/>
      <c r="R10" s="9" t="n"/>
      <c r="S10" s="11" t="n"/>
      <c r="T10" s="12" t="n"/>
      <c r="U10" s="12" t="n"/>
      <c r="V10" s="12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26" t="n"/>
    </row>
    <row r="11">
      <c r="A11" s="68" t="n"/>
      <c r="B11" s="37" t="inlineStr">
        <is>
          <t>Ip Tương Ứng</t>
        </is>
      </c>
      <c r="C11" s="27" t="n">
        <v>8.204000000000001</v>
      </c>
      <c r="D11" s="27" t="n">
        <v>8.206</v>
      </c>
      <c r="E11" s="27" t="n">
        <v>8.209</v>
      </c>
      <c r="F11" s="27" t="n">
        <v>8.211</v>
      </c>
      <c r="G11" s="28" t="n">
        <v>8.205</v>
      </c>
      <c r="H11" s="28" t="n">
        <v>8.201000000000001</v>
      </c>
      <c r="I11" s="14" t="inlineStr">
        <is>
          <t>8.212</t>
        </is>
      </c>
      <c r="J11" s="14" t="inlineStr">
        <is>
          <t>8.213</t>
        </is>
      </c>
      <c r="K11" s="14" t="inlineStr">
        <is>
          <t>8.210</t>
        </is>
      </c>
      <c r="L11" s="14" t="inlineStr">
        <is>
          <t>8.207</t>
        </is>
      </c>
      <c r="M11" s="14" t="inlineStr">
        <is>
          <t>8.202</t>
        </is>
      </c>
      <c r="N11" s="14" t="inlineStr">
        <is>
          <t>8.208</t>
        </is>
      </c>
      <c r="O11" s="14" t="inlineStr">
        <is>
          <t>8.203</t>
        </is>
      </c>
      <c r="P11" s="14" t="inlineStr">
        <is>
          <t>8.214</t>
        </is>
      </c>
      <c r="Q11" s="14" t="n"/>
      <c r="R11" s="14" t="n"/>
      <c r="S11" s="11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6" t="n"/>
      <c r="BO11" s="26" t="n"/>
    </row>
    <row r="12" ht="15.75" customHeight="1">
      <c r="A12" s="73">
        <f>DATE(N6,K6,1)</f>
        <v/>
      </c>
      <c r="B12" s="6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</row>
    <row r="13" ht="15.75" customHeight="1">
      <c r="A13" s="73">
        <f>A12+1</f>
        <v/>
      </c>
      <c r="B13" s="62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1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</row>
    <row r="14" ht="15.75" customHeight="1">
      <c r="A14" s="73">
        <f>A13+1</f>
        <v/>
      </c>
      <c r="B14" s="62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</row>
    <row r="15" ht="15.75" customHeight="1">
      <c r="A15" s="73">
        <f>A14+1</f>
        <v/>
      </c>
      <c r="B15" s="62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1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</row>
    <row r="16" ht="15.75" customHeight="1">
      <c r="A16" s="73">
        <f>A15+1</f>
        <v/>
      </c>
      <c r="B16" s="62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</row>
    <row r="17" ht="15.75" customHeight="1">
      <c r="A17" s="73">
        <f>A16+1</f>
        <v/>
      </c>
      <c r="B17" s="62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1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</row>
    <row r="18" ht="15.75" customHeight="1">
      <c r="A18" s="73">
        <f>A17+1</f>
        <v/>
      </c>
      <c r="B18" s="62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</row>
    <row r="19" ht="15.75" customHeight="1">
      <c r="A19" s="73">
        <f>A18+1</f>
        <v/>
      </c>
      <c r="B19" s="62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1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</row>
    <row r="20" ht="15.75" customHeight="1">
      <c r="A20" s="73">
        <f>A19+1</f>
        <v/>
      </c>
      <c r="B20" s="62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</row>
    <row r="21" ht="15.75" customHeight="1">
      <c r="A21" s="73">
        <f>A20+1</f>
        <v/>
      </c>
      <c r="B21" s="62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1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</row>
    <row r="22" ht="15.75" customHeight="1">
      <c r="A22" s="73">
        <f>A21+1</f>
        <v/>
      </c>
      <c r="B22" s="62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</row>
    <row r="23" ht="15.75" customHeight="1">
      <c r="A23" s="73">
        <f>A22+1</f>
        <v/>
      </c>
      <c r="B23" s="62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1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</row>
    <row r="24" ht="15.75" customHeight="1">
      <c r="A24" s="73">
        <f>A23+1</f>
        <v/>
      </c>
      <c r="B24" s="62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</row>
    <row r="25" ht="15.75" customHeight="1">
      <c r="A25" s="73">
        <f>A24+1</f>
        <v/>
      </c>
      <c r="B25" s="62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1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</row>
    <row r="26" ht="15.75" customHeight="1">
      <c r="A26" s="73">
        <f>A25+1</f>
        <v/>
      </c>
      <c r="B26" s="62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</row>
    <row r="27" ht="15.75" customHeight="1">
      <c r="A27" s="73">
        <f>A26+1</f>
        <v/>
      </c>
      <c r="B27" s="62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1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</row>
    <row r="28" ht="15.75" customHeight="1">
      <c r="A28" s="73">
        <f>A27+1</f>
        <v/>
      </c>
      <c r="B28" s="62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</row>
    <row r="29" ht="15.75" customHeight="1">
      <c r="A29" s="73">
        <f>A28+1</f>
        <v/>
      </c>
      <c r="B29" s="62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1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</row>
    <row r="30" ht="15.75" customHeight="1">
      <c r="A30" s="73">
        <f>A29+1</f>
        <v/>
      </c>
      <c r="B30" s="62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</row>
    <row r="31" ht="15.75" customHeight="1">
      <c r="A31" s="73">
        <f>A30+1</f>
        <v/>
      </c>
      <c r="B31" s="62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1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</row>
    <row r="32" ht="15.75" customHeight="1">
      <c r="A32" s="73">
        <f>A31+1</f>
        <v/>
      </c>
      <c r="B32" s="62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</row>
    <row r="33" ht="15.75" customHeight="1">
      <c r="A33" s="73">
        <f>A32+1</f>
        <v/>
      </c>
      <c r="B33" s="62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1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</row>
    <row r="34" ht="15.75" customHeight="1">
      <c r="A34" s="73">
        <f>A33+1</f>
        <v/>
      </c>
      <c r="B34" s="62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</row>
    <row r="35" ht="15.75" customHeight="1">
      <c r="A35" s="73">
        <f>A34+1</f>
        <v/>
      </c>
      <c r="B35" s="62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1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</row>
    <row r="36" ht="15.75" customHeight="1">
      <c r="A36" s="73">
        <f>A35+1</f>
        <v/>
      </c>
      <c r="B36" s="62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</row>
    <row r="37" ht="15.75" customHeight="1">
      <c r="A37" s="73">
        <f>A36+1</f>
        <v/>
      </c>
      <c r="B37" s="62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20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</row>
    <row r="38" ht="15.75" customHeight="1">
      <c r="A38" s="73">
        <f>A37+1</f>
        <v/>
      </c>
      <c r="B38" s="62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</row>
    <row r="39" ht="15.75" customHeight="1">
      <c r="A39" s="73">
        <f>A38+1</f>
        <v/>
      </c>
      <c r="B39" s="62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1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</row>
    <row r="40" ht="15.75" customHeight="1">
      <c r="A40" s="73">
        <f>IF(A39="","",IF(A39=EOMONTH(DATE($N$6,$K$6,1),0),"",A39+1))</f>
        <v/>
      </c>
      <c r="B40" s="62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</row>
    <row r="41" ht="15.75" customHeight="1">
      <c r="A41" s="73">
        <f>IF(A40="","",IF(A40=EOMONTH(DATE($N$6,$K$6,1),0),"",A40+1))</f>
        <v/>
      </c>
      <c r="B41" s="62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1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</row>
    <row r="42" ht="15.75" customHeight="1">
      <c r="A42" s="73">
        <f>IF(A41="","",IF(A41=EOMONTH(DATE($N$6,$K$6,1),0),"",A41+1))</f>
        <v/>
      </c>
      <c r="B42" s="62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</row>
    <row r="43" ht="13.5" customHeight="1">
      <c r="A43" s="21" t="inlineStr">
        <is>
          <t>Ghi chú:</t>
        </is>
      </c>
      <c r="B43" s="58" t="inlineStr">
        <is>
          <t>Không check ( bình thường )</t>
        </is>
      </c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  <c r="BF43" s="58" t="n"/>
      <c r="BG43" s="58" t="n"/>
      <c r="BH43" s="58" t="n"/>
      <c r="BI43" s="58" t="n"/>
      <c r="BJ43" s="58" t="n"/>
      <c r="BK43" s="58" t="n"/>
      <c r="BL43" s="58" t="n"/>
      <c r="BM43" s="58" t="n"/>
      <c r="BN43" s="58" t="n"/>
      <c r="BO43" s="58" t="n"/>
    </row>
    <row r="44">
      <c r="A44" s="58" t="n"/>
      <c r="B44" s="58" t="inlineStr">
        <is>
          <t>F là Fail ( mất tín hiệu )</t>
        </is>
      </c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  <c r="BE44" s="58" t="n"/>
      <c r="BF44" s="58" t="n"/>
      <c r="BG44" s="58" t="n"/>
      <c r="BH44" s="58" t="n"/>
      <c r="BI44" s="58" t="n"/>
      <c r="BJ44" s="58" t="n"/>
      <c r="BK44" s="58" t="n"/>
      <c r="BL44" s="58" t="n"/>
      <c r="BM44" s="58" t="n"/>
      <c r="BN44" s="58" t="n"/>
      <c r="BO44" s="58" t="n"/>
    </row>
  </sheetData>
  <mergeCells count="47">
    <mergeCell ref="A24:B24"/>
    <mergeCell ref="A30:B30"/>
    <mergeCell ref="A15:B15"/>
    <mergeCell ref="E1:S1"/>
    <mergeCell ref="B1:D3"/>
    <mergeCell ref="H3:Q3"/>
    <mergeCell ref="S8:S9"/>
    <mergeCell ref="A36:B36"/>
    <mergeCell ref="B8:P8"/>
    <mergeCell ref="A4:S4"/>
    <mergeCell ref="E2:G2"/>
    <mergeCell ref="A16:B16"/>
    <mergeCell ref="A25:B25"/>
    <mergeCell ref="A41:B41"/>
    <mergeCell ref="A5:BO5"/>
    <mergeCell ref="A37:B37"/>
    <mergeCell ref="A18:B18"/>
    <mergeCell ref="A27:B27"/>
    <mergeCell ref="A12:B12"/>
    <mergeCell ref="A1:A3"/>
    <mergeCell ref="A21:B21"/>
    <mergeCell ref="A26:B26"/>
    <mergeCell ref="A8:A11"/>
    <mergeCell ref="A33:B33"/>
    <mergeCell ref="B43:N43"/>
    <mergeCell ref="A42:B42"/>
    <mergeCell ref="A32:B32"/>
    <mergeCell ref="A14:B14"/>
    <mergeCell ref="R3:S3"/>
    <mergeCell ref="E3:G3"/>
    <mergeCell ref="A23:B23"/>
    <mergeCell ref="A17:B17"/>
    <mergeCell ref="A22:B22"/>
    <mergeCell ref="A35:B35"/>
    <mergeCell ref="A20:B20"/>
    <mergeCell ref="A38:B38"/>
    <mergeCell ref="A29:B29"/>
    <mergeCell ref="N6:O6"/>
    <mergeCell ref="A19:B19"/>
    <mergeCell ref="R2:S2"/>
    <mergeCell ref="A28:B28"/>
    <mergeCell ref="H2:Q2"/>
    <mergeCell ref="A13:B13"/>
    <mergeCell ref="A40:B40"/>
    <mergeCell ref="A31:B31"/>
    <mergeCell ref="A39:B39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2025-12-04T02:07:20Z</dcterms:created>
  <dcterms:modified xsi:type="dcterms:W3CDTF">2026-04-07T09:24:17Z</dcterms:modified>
  <cp:lastModifiedBy>DOF IT - Le Hung Thai</cp:lastModifiedBy>
</cp:coreProperties>
</file>