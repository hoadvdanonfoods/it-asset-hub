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8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9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10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11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12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OneDrive - CONG TY CO PHAN THUC PHAM DAN ON\Dân Ôn Foods\THÁI\TỔNG CAMERA CÁC NHÀ MÁY\MP3TT-17-BMIT - Check list Camera Các Nhà Máy\Check list Tổng Các NM ( Năm 2026 )\MP3\NM2\"/>
    </mc:Choice>
  </mc:AlternateContent>
  <bookViews>
    <workbookView xWindow="0" yWindow="0" windowWidth="28800" windowHeight="12375" activeTab="3"/>
  </bookViews>
  <sheets>
    <sheet name="Tháng 1" sheetId="1" r:id="rId1"/>
    <sheet name="Tháng 2" sheetId="2" r:id="rId2"/>
    <sheet name="Tháng 3" sheetId="3" r:id="rId3"/>
    <sheet name="Tháng 4" sheetId="4" r:id="rId4"/>
    <sheet name="Tháng 5" sheetId="5" r:id="rId5"/>
    <sheet name="Tháng 6" sheetId="6" r:id="rId6"/>
    <sheet name="Tháng 7" sheetId="7" r:id="rId7"/>
    <sheet name="Tháng 8" sheetId="8" r:id="rId8"/>
    <sheet name="Tháng 9" sheetId="9" r:id="rId9"/>
    <sheet name="Tháng 10" sheetId="10" r:id="rId10"/>
    <sheet name="Tháng 11" sheetId="11" r:id="rId11"/>
    <sheet name="Tháng 12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2" l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12" i="1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12" i="10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12" i="9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12" i="8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12" i="7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12" i="6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</calcChain>
</file>

<file path=xl/sharedStrings.xml><?xml version="1.0" encoding="utf-8"?>
<sst xmlns="http://schemas.openxmlformats.org/spreadsheetml/2006/main" count="2537" uniqueCount="213">
  <si>
    <t>DOF CORP-MP3 Branch</t>
  </si>
  <si>
    <t>CHECK LIST CAMERA</t>
  </si>
  <si>
    <r>
      <t>Ký hiệu:</t>
    </r>
    <r>
      <rPr>
        <sz val="8"/>
        <rFont val="Times New Roman"/>
        <family val="1"/>
      </rPr>
      <t xml:space="preserve">  EP/QĐ-02-SSOP-05-BM-04</t>
    </r>
  </si>
  <si>
    <r>
      <t xml:space="preserve">Ngày ban hành: </t>
    </r>
    <r>
      <rPr>
        <sz val="8"/>
        <rFont val="Times New Roman"/>
        <family val="1"/>
      </rPr>
      <t>01/11/2024</t>
    </r>
  </si>
  <si>
    <r>
      <t>Lần sửa đổi:</t>
    </r>
    <r>
      <rPr>
        <sz val="8"/>
        <rFont val="Times New Roman"/>
        <family val="1"/>
      </rPr>
      <t xml:space="preserve"> 00</t>
    </r>
  </si>
  <si>
    <r>
      <t>BP biên soạn:</t>
    </r>
    <r>
      <rPr>
        <sz val="8"/>
        <rFont val="Times New Roman"/>
        <family val="1"/>
      </rPr>
      <t xml:space="preserve"> ĐATTP</t>
    </r>
  </si>
  <si>
    <t>Trang: 1/1</t>
  </si>
  <si>
    <t>ĐẦU GHI: 190.180.170.7 (NM2)</t>
  </si>
  <si>
    <t>Khu vực:  MP3</t>
  </si>
  <si>
    <t xml:space="preserve">Tháng </t>
  </si>
  <si>
    <t xml:space="preserve">Năm </t>
  </si>
  <si>
    <t>Ngày</t>
  </si>
  <si>
    <t>Mã số kính cần kiểm soát</t>
  </si>
  <si>
    <t>Ghi chú</t>
  </si>
  <si>
    <t>TT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</si>
  <si>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</si>
  <si>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</si>
  <si>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</si>
  <si>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</si>
  <si>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</si>
  <si>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</si>
  <si>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</si>
  <si>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</si>
  <si>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</si>
  <si>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</si>
  <si>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</si>
  <si>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</si>
  <si>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</si>
  <si>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</si>
  <si>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</si>
  <si>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</si>
  <si>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</si>
  <si>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</si>
  <si>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</si>
  <si>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</si>
  <si>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</si>
  <si>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</si>
  <si>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</si>
  <si>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</si>
  <si>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</si>
  <si>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</si>
  <si>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</si>
  <si>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</si>
  <si>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</si>
  <si>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</si>
  <si>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</si>
  <si>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</si>
  <si>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</si>
  <si>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</si>
  <si>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</si>
  <si>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</si>
  <si>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</si>
  <si>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</si>
  <si>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</si>
  <si>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</si>
  <si>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</si>
  <si>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</si>
  <si>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</si>
  <si>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</si>
  <si>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</si>
  <si>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</si>
  <si>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</si>
  <si>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</si>
  <si>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</si>
  <si>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</si>
  <si>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</si>
  <si>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</si>
  <si>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</si>
  <si>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</si>
  <si>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</si>
  <si>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</si>
  <si>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</si>
  <si>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</si>
  <si>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</si>
  <si>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</si>
  <si>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</si>
  <si>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</si>
  <si>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</si>
  <si>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</si>
  <si>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Tên Camera</t>
  </si>
  <si>
    <t>P2 Pistachios-01 C2-164</t>
  </si>
  <si>
    <t>P2 Pistachios-02 C2-165</t>
  </si>
  <si>
    <t>Server Room C111 Z20</t>
  </si>
  <si>
    <t>Automation Room Z20</t>
  </si>
  <si>
    <t>Office C84 F1 Z20</t>
  </si>
  <si>
    <t>Office -C83 F1 Z20</t>
  </si>
  <si>
    <t>P2 Candy C2-166</t>
  </si>
  <si>
    <t>P2 Canteen-03</t>
  </si>
  <si>
    <t>P2 Canteen-02 C107Z20</t>
  </si>
  <si>
    <t>P2 Canteen-04</t>
  </si>
  <si>
    <t>Cool WH P2 C162Z24</t>
  </si>
  <si>
    <t>corridor upstari C86 F1 Z22</t>
  </si>
  <si>
    <t>Left Exit Export Dock c19 Z20</t>
  </si>
  <si>
    <t>Gap F1 &amp; F2 78 Z24</t>
  </si>
  <si>
    <t>Right cooling tower C77 Z24</t>
  </si>
  <si>
    <t>Left N2 Tank C69 Z24</t>
  </si>
  <si>
    <t>Recycle Container C68 Z24</t>
  </si>
  <si>
    <t>Center back P2 C105 Z23</t>
  </si>
  <si>
    <t>Washing Room P2 C106 Z23</t>
  </si>
  <si>
    <t>P2 Farm Right Back Z22C2-50</t>
  </si>
  <si>
    <t>P2 Corridor Z22C2-51</t>
  </si>
  <si>
    <t>Right Middle C35 Z21</t>
  </si>
  <si>
    <t>Cold Cointer 2 C34 Z21</t>
  </si>
  <si>
    <t>Cold Container 1 C104 Z21</t>
  </si>
  <si>
    <t>Right Front C23 Z21</t>
  </si>
  <si>
    <t>Right Water Fountain C22 Z21</t>
  </si>
  <si>
    <t>Out Container Dock C91 Z20</t>
  </si>
  <si>
    <t>Receiption P2 C21 Z20</t>
  </si>
  <si>
    <t>Our Container Dock 11 C20 Z20</t>
  </si>
  <si>
    <t>Container Out Front C94 Z25</t>
  </si>
  <si>
    <t>Kg Car C93 Z25</t>
  </si>
  <si>
    <t>Gate 4 Left C92 Z25</t>
  </si>
  <si>
    <t>Receiption Front C90 Z25</t>
  </si>
  <si>
    <t>Gate 4 Right Outside C87 Z25</t>
  </si>
  <si>
    <t>Gate 4 Left Outside C88 Z25</t>
  </si>
  <si>
    <t>Gate 4 Left Inside C89Z25</t>
  </si>
  <si>
    <t>Fence Gate 5 C95 Z26</t>
  </si>
  <si>
    <t>Back Gate 5 C96 Z26</t>
  </si>
  <si>
    <t>Gate 5 - C97 Z26</t>
  </si>
  <si>
    <t>Packing 02-C98 Z27</t>
  </si>
  <si>
    <t>Packing 01- C99 Z27</t>
  </si>
  <si>
    <t>Loker 01-C100 Z27</t>
  </si>
  <si>
    <t>Locker 02-C101 Z27</t>
  </si>
  <si>
    <t>Back Parking Locker 1C102 Z27</t>
  </si>
  <si>
    <t>Back Parking Locker 2 C103 Z27</t>
  </si>
  <si>
    <t>Finger Wh -C112 Z20</t>
  </si>
  <si>
    <t>Finger Milk -C113 Z21</t>
  </si>
  <si>
    <t>Finger -C114 Z23</t>
  </si>
  <si>
    <t>Finger -C115 Z23</t>
  </si>
  <si>
    <t>P2.Drying-01 C141Z21</t>
  </si>
  <si>
    <t>P2-Drying-02 C142Z21</t>
  </si>
  <si>
    <t>P2 Packing Drying 02 C143Z21</t>
  </si>
  <si>
    <t>P2-Packing C144Z21</t>
  </si>
  <si>
    <t>P2 Office Drying C145Z21</t>
  </si>
  <si>
    <t>P2 C146Z21</t>
  </si>
  <si>
    <t>P2 Cold WH Z24 C2-161</t>
  </si>
  <si>
    <t>P2 Mekong River Z27 C2-182</t>
  </si>
  <si>
    <t>Kitchen 01 C124Z20</t>
  </si>
  <si>
    <t>Kitchen 02 C125Z20</t>
  </si>
  <si>
    <t>Kitchen 03 C24Z20</t>
  </si>
  <si>
    <t>Canteen P2 C19Z20</t>
  </si>
  <si>
    <t>RO Water System C128Z23</t>
  </si>
  <si>
    <t>WH Appliances C129Z23</t>
  </si>
  <si>
    <t>Ip Tương Ứng</t>
  </si>
  <si>
    <t>.164</t>
  </si>
  <si>
    <t>.165</t>
  </si>
  <si>
    <t>.111</t>
  </si>
  <si>
    <t>.06</t>
  </si>
  <si>
    <t>.84</t>
  </si>
  <si>
    <t>.83</t>
  </si>
  <si>
    <t>.166</t>
  </si>
  <si>
    <t>.81</t>
  </si>
  <si>
    <t>.107</t>
  </si>
  <si>
    <t>.80</t>
  </si>
  <si>
    <t>.162</t>
  </si>
  <si>
    <t>.86</t>
  </si>
  <si>
    <t>.19</t>
  </si>
  <si>
    <t>.78</t>
  </si>
  <si>
    <t>.77</t>
  </si>
  <si>
    <t>.69</t>
  </si>
  <si>
    <t>.68</t>
  </si>
  <si>
    <t>.105</t>
  </si>
  <si>
    <t>.106</t>
  </si>
  <si>
    <t>.50</t>
  </si>
  <si>
    <t>.51</t>
  </si>
  <si>
    <t>.35</t>
  </si>
  <si>
    <t>.34</t>
  </si>
  <si>
    <t>.104</t>
  </si>
  <si>
    <t>.23</t>
  </si>
  <si>
    <t>.22</t>
  </si>
  <si>
    <t>.91</t>
  </si>
  <si>
    <t>.21</t>
  </si>
  <si>
    <t>.20</t>
  </si>
  <si>
    <t>.94</t>
  </si>
  <si>
    <t>.93</t>
  </si>
  <si>
    <t>.92</t>
  </si>
  <si>
    <t>.90</t>
  </si>
  <si>
    <t>.87</t>
  </si>
  <si>
    <t>.88</t>
  </si>
  <si>
    <t>.89</t>
  </si>
  <si>
    <t>.95</t>
  </si>
  <si>
    <t>.96</t>
  </si>
  <si>
    <t>.97</t>
  </si>
  <si>
    <t>.98</t>
  </si>
  <si>
    <t>.99</t>
  </si>
  <si>
    <t>.100</t>
  </si>
  <si>
    <t>.101</t>
  </si>
  <si>
    <t>.102</t>
  </si>
  <si>
    <t>.103</t>
  </si>
  <si>
    <t>.112</t>
  </si>
  <si>
    <t>.113</t>
  </si>
  <si>
    <t>.114</t>
  </si>
  <si>
    <t>.115</t>
  </si>
  <si>
    <t>.141</t>
  </si>
  <si>
    <t>.142</t>
  </si>
  <si>
    <t>.143</t>
  </si>
  <si>
    <t>.144</t>
  </si>
  <si>
    <t>.145</t>
  </si>
  <si>
    <t>.146</t>
  </si>
  <si>
    <t>.161</t>
  </si>
  <si>
    <t>.182</t>
  </si>
  <si>
    <t>.124</t>
  </si>
  <si>
    <t>.125</t>
  </si>
  <si>
    <t>.24</t>
  </si>
  <si>
    <t>.29</t>
  </si>
  <si>
    <t>.128</t>
  </si>
  <si>
    <t>.129</t>
  </si>
  <si>
    <t>Ghi chú:</t>
  </si>
  <si>
    <t>Không  check ( bình thường )</t>
  </si>
  <si>
    <t>F là Fail ( mất tín hiệu )</t>
  </si>
  <si>
    <t>Người xem xét</t>
  </si>
  <si>
    <t>F</t>
  </si>
  <si>
    <t>Treo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</si>
</sst>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color theme="1"/>
      <name val="Times New Roman"/>
      <family val="2"/>
    </font>
    <font>
      <sz val="9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i/>
      <u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8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0" fontId="11" fillId="0" borderId="1" xfId="0" applyFont="1" applyBorder="1"/>
    <xf numFmtId="0" fontId="11" fillId="2" borderId="1" xfId="0" applyFont="1" applyFill="1" applyBorder="1" applyAlignment="1">
      <alignment horizontal="left" vertical="center" indent="1"/>
    </xf>
    <xf numFmtId="49" fontId="9" fillId="0" borderId="1" xfId="0" applyNumberFormat="1" applyFont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4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K$6" max="12" min="1" page="10"/>
</file>

<file path=xl/ctrlProps/ctrlProp2.xml><?xml version="1.0" encoding="utf-8"?>
<formControlPr xmlns="http://schemas.microsoft.com/office/spreadsheetml/2009/9/main" objectType="Spin" dx="22" fmlaLink="$N$6" max="2060" min="2025" page="10" val="2026"/>
</file>

<file path=xl/ctrlProps/ctrlProp3.xml><?xml version="1.0" encoding="utf-8"?>
<formControlPr xmlns="http://schemas.microsoft.com/office/spreadsheetml/2009/9/main" objectType="Spin" dx="22" fmlaLink="$K$6" max="12" min="1" page="10" val="2"/>
</file>

<file path=xl/ctrlProps/ctrlProp4.xml><?xml version="1.0" encoding="utf-8"?>
<formControlPr xmlns="http://schemas.microsoft.com/office/spreadsheetml/2009/9/main" objectType="Spin" dx="22" fmlaLink="$N$6" max="2060" min="2025" page="10" val="2026"/>
</file>

<file path=xl/ctrlProps/ctrlProp5.xml><?xml version="1.0" encoding="utf-8"?>
<formControlPr xmlns="http://schemas.microsoft.com/office/spreadsheetml/2009/9/main" objectType="Spin" dx="22" fmlaLink="$K$6" max="12" min="1" page="10" val="3"/>
</file>

<file path=xl/ctrlProps/ctrlProp6.xml><?xml version="1.0" encoding="utf-8"?>
<formControlPr xmlns="http://schemas.microsoft.com/office/spreadsheetml/2009/9/main" objectType="Spin" dx="22" fmlaLink="$N$6" max="2060" min="2025" page="10" val="2026"/>
</file>

<file path=xl/ctrlProps/ctrlProp7.xml><?xml version="1.0" encoding="utf-8"?>
<formControlPr xmlns="http://schemas.microsoft.com/office/spreadsheetml/2009/9/main" objectType="Spin" dx="22" fmlaLink="$K$6" max="12" min="1" page="10" val="4"/>
</file>

<file path=xl/ctrlProps/ctrlProp8.xml><?xml version="1.0" encoding="utf-8"?>
<formControlPr xmlns="http://schemas.microsoft.com/office/spreadsheetml/2009/9/main" objectType="Spin" dx="22" fmlaLink="$N$6" max="2060" min="2025" page="10" val="2026"/>
</file>

<file path=xl/ctrlProps/ctrlProp9.xml><?xml version="1.0" encoding="utf-8"?>
<formControlPr xmlns="http://schemas.microsoft.com/office/spreadsheetml/2009/9/main" objectType="Spin" dx="22" fmlaLink="$K$6" max="12" min="1" page="10" val="6"/>
</file>

<file path=xl/ctrlProps/ctrlProp10.xml><?xml version="1.0" encoding="utf-8"?>
<formControlPr xmlns="http://schemas.microsoft.com/office/spreadsheetml/2009/9/main" objectType="Spin" dx="22" fmlaLink="$N$6" max="2060" min="2025" page="10" val="2026"/>
</file>

<file path=xl/ctrlProps/ctrlProp11.xml><?xml version="1.0" encoding="utf-8"?>
<formControlPr xmlns="http://schemas.microsoft.com/office/spreadsheetml/2009/9/main" objectType="Spin" dx="22" fmlaLink="$K$6" max="12" min="1" page="10" val="6"/>
</file>

<file path=xl/ctrlProps/ctrlProp12.xml><?xml version="1.0" encoding="utf-8"?>
<formControlPr xmlns="http://schemas.microsoft.com/office/spreadsheetml/2009/9/main" objectType="Spin" dx="22" fmlaLink="$N$6" max="2060" min="2025" page="10" val="2026"/>
</file>

<file path=xl/ctrlProps/ctrlProp13.xml><?xml version="1.0" encoding="utf-8"?>
<formControlPr xmlns="http://schemas.microsoft.com/office/spreadsheetml/2009/9/main" objectType="Spin" dx="22" fmlaLink="$K$6" max="12" min="1" page="10" val="7"/>
</file>

<file path=xl/ctrlProps/ctrlProp14.xml><?xml version="1.0" encoding="utf-8"?>
<formControlPr xmlns="http://schemas.microsoft.com/office/spreadsheetml/2009/9/main" objectType="Spin" dx="22" fmlaLink="$N$6" max="2060" min="2025" page="10" val="2026"/>
</file>

<file path=xl/ctrlProps/ctrlProp15.xml><?xml version="1.0" encoding="utf-8"?>
<formControlPr xmlns="http://schemas.microsoft.com/office/spreadsheetml/2009/9/main" objectType="Spin" dx="22" fmlaLink="$K$6" max="12" min="1" page="10" val="8"/>
</file>

<file path=xl/ctrlProps/ctrlProp16.xml><?xml version="1.0" encoding="utf-8"?>
<formControlPr xmlns="http://schemas.microsoft.com/office/spreadsheetml/2009/9/main" objectType="Spin" dx="22" fmlaLink="$N$6" max="2060" min="2025" page="10" val="2026"/>
</file>

<file path=xl/ctrlProps/ctrlProp17.xml><?xml version="1.0" encoding="utf-8"?>
<formControlPr xmlns="http://schemas.microsoft.com/office/spreadsheetml/2009/9/main" objectType="Spin" dx="22" fmlaLink="$K$6" max="12" min="1" page="10" val="9"/>
</file>

<file path=xl/ctrlProps/ctrlProp18.xml><?xml version="1.0" encoding="utf-8"?>
<formControlPr xmlns="http://schemas.microsoft.com/office/spreadsheetml/2009/9/main" objectType="Spin" dx="22" fmlaLink="$N$6" max="2060" min="2025" page="10" val="2026"/>
</file>

<file path=xl/ctrlProps/ctrlProp19.xml><?xml version="1.0" encoding="utf-8"?>
<formControlPr xmlns="http://schemas.microsoft.com/office/spreadsheetml/2009/9/main" objectType="Spin" dx="22" fmlaLink="$K$6" max="12" min="1" page="10" val="10"/>
</file>

<file path=xl/ctrlProps/ctrlProp20.xml><?xml version="1.0" encoding="utf-8"?>
<formControlPr xmlns="http://schemas.microsoft.com/office/spreadsheetml/2009/9/main" objectType="Spin" dx="22" fmlaLink="$N$6" max="2060" min="2025" page="10" val="2026"/>
</file>

<file path=xl/ctrlProps/ctrlProp21.xml><?xml version="1.0" encoding="utf-8"?>
<formControlPr xmlns="http://schemas.microsoft.com/office/spreadsheetml/2009/9/main" objectType="Spin" dx="22" fmlaLink="$K$6" max="12" min="1" page="10" val="11"/>
</file>

<file path=xl/ctrlProps/ctrlProp22.xml><?xml version="1.0" encoding="utf-8"?>
<formControlPr xmlns="http://schemas.microsoft.com/office/spreadsheetml/2009/9/main" objectType="Spin" dx="22" fmlaLink="$N$6" max="2060" min="2025" page="10" val="2026"/>
</file>

<file path=xl/ctrlProps/ctrlProp23.xml><?xml version="1.0" encoding="utf-8"?>
<formControlPr xmlns="http://schemas.microsoft.com/office/spreadsheetml/2009/9/main" objectType="Spin" dx="22" fmlaLink="$K$6" max="12" min="1" page="10" val="12"/>
</file>

<file path=xl/ctrlProps/ctrlProp24.xml><?xml version="1.0" encoding="utf-8"?>
<formControlPr xmlns="http://schemas.microsoft.com/office/spreadsheetml/2009/9/main" objectType="Spin" dx="22" fmlaLink="$N$6" max="2060" min="2025" page="10" val="2026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7" name="Spinne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8" name="Spinne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2051" name="Spinne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2052" name="Spinner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3075" name="Spinner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3076" name="Spinner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4099" name="Spinner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4100" name="Spinner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5123" name="Spinner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5124" name="Spinner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6147" name="Spinner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6148" name="Spinner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7171" name="Spinner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7172" name="Spinner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8195" name="Spinner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8196" name="Spinner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9219" name="Spinner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9220" name="Spinner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43" name="Spinner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44" name="Spinner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1267" name="Spinner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1268" name="Spinner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2291" name="Spinner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2292" name="Spinner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trlProp" Target="../ctrlProps/ctrlProp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openxmlformats.org/officeDocument/2006/relationships/ctrlProp" Target="../ctrlProps/ctrlProp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4" Type="http://schemas.openxmlformats.org/officeDocument/2006/relationships/ctrlProp" Target="../ctrlProps/ctrlProp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4" Type="http://schemas.openxmlformats.org/officeDocument/2006/relationships/ctrlProp" Target="../ctrlProps/ctrlProp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Relationship Id="rId4" Type="http://schemas.openxmlformats.org/officeDocument/2006/relationships/ctrlProp" Target="../ctrlProps/ctrlProp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Relationship Id="rId4" Type="http://schemas.openxmlformats.org/officeDocument/2006/relationships/ctrlProp" Target="../ctrlProps/ctrlProp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Relationship Id="rId4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BJ51" sqref="BJ51"/>
    </sheetView>
  </sheetViews>
  <sheetFormatPr defaultRowHeight="12.75" x14ac:dyDescent="0.2"/>
  <cols>
    <col min="1" max="2" width="23.5" bestFit="1" customWidth="1"/>
    <col min="3" max="3" width="35.6640625" bestFit="1" customWidth="1"/>
    <col min="4" max="4" width="36.33203125" bestFit="1" customWidth="1"/>
    <col min="5" max="5" width="31.6640625" bestFit="1" customWidth="1"/>
    <col min="6" max="6" width="31.83203125" bestFit="1" customWidth="1"/>
    <col min="7" max="7" width="25.83203125" bestFit="1" customWidth="1"/>
    <col min="8" max="8" width="27.5" bestFit="1" customWidth="1"/>
    <col min="9" max="9" width="25.33203125" bestFit="1" customWidth="1"/>
    <col min="10" max="10" width="22.83203125" bestFit="1" customWidth="1"/>
    <col min="11" max="11" width="35.33203125" bestFit="1" customWidth="1"/>
    <col min="12" max="12" width="22.83203125" bestFit="1" customWidth="1"/>
    <col min="13" max="13" width="30.1640625" bestFit="1" customWidth="1"/>
    <col min="14" max="14" width="38.5" bestFit="1" customWidth="1"/>
    <col min="15" max="15" width="41.6640625" bestFit="1" customWidth="1"/>
    <col min="16" max="16" width="28.33203125" bestFit="1" customWidth="1"/>
    <col min="17" max="17" width="40.1640625" bestFit="1" customWidth="1"/>
    <col min="18" max="18" width="31.33203125" bestFit="1" customWidth="1"/>
    <col min="19" max="19" width="40.6640625" bestFit="1" customWidth="1"/>
    <col min="20" max="20" width="36.33203125" bestFit="1" customWidth="1"/>
    <col min="21" max="21" width="39.6640625" bestFit="1" customWidth="1"/>
    <col min="22" max="22" width="43.33203125" bestFit="1" customWidth="1"/>
    <col min="23" max="23" width="31.33203125" bestFit="1" customWidth="1"/>
    <col min="24" max="24" width="30.1640625" bestFit="1" customWidth="1"/>
    <col min="25" max="25" width="32.83203125" bestFit="1" customWidth="1"/>
    <col min="26" max="26" width="37" bestFit="1" customWidth="1"/>
    <col min="27" max="27" width="28.5" bestFit="1" customWidth="1"/>
    <col min="28" max="28" width="42.33203125" bestFit="1" customWidth="1"/>
    <col min="29" max="29" width="40.1640625" bestFit="1" customWidth="1"/>
    <col min="30" max="30" width="32.83203125" bestFit="1" customWidth="1"/>
    <col min="31" max="31" width="44" bestFit="1" customWidth="1"/>
    <col min="32" max="32" width="40.83203125" bestFit="1" customWidth="1"/>
    <col min="33" max="33" width="23" bestFit="1" customWidth="1"/>
    <col min="34" max="34" width="29.1640625" bestFit="1" customWidth="1"/>
    <col min="35" max="35" width="36.83203125" bestFit="1" customWidth="1"/>
    <col min="36" max="36" width="42.5" bestFit="1" customWidth="1"/>
    <col min="37" max="37" width="40.6640625" bestFit="1" customWidth="1"/>
    <col min="38" max="38" width="37.5" bestFit="1" customWidth="1"/>
    <col min="39" max="39" width="32.5" bestFit="1" customWidth="1"/>
    <col min="40" max="40" width="30.6640625" bestFit="1" customWidth="1"/>
    <col min="41" max="41" width="25.1640625" bestFit="1" customWidth="1"/>
    <col min="42" max="42" width="30" bestFit="1" customWidth="1"/>
    <col min="43" max="43" width="30.1640625" bestFit="1" customWidth="1"/>
    <col min="44" max="44" width="27.33203125" bestFit="1" customWidth="1"/>
    <col min="45" max="45" width="29" bestFit="1" customWidth="1"/>
    <col min="46" max="46" width="44.6640625" bestFit="1" customWidth="1"/>
    <col min="47" max="47" width="45.83203125" bestFit="1" customWidth="1"/>
    <col min="48" max="48" width="29.6640625" bestFit="1" customWidth="1"/>
    <col min="49" max="49" width="30.1640625" bestFit="1" customWidth="1"/>
    <col min="50" max="51" width="24.6640625" bestFit="1" customWidth="1"/>
    <col min="52" max="52" width="31.33203125" bestFit="1" customWidth="1"/>
    <col min="53" max="53" width="32.83203125" bestFit="1" customWidth="1"/>
    <col min="54" max="54" width="43.33203125" bestFit="1" customWidth="1"/>
    <col min="55" max="55" width="30.1640625" bestFit="1" customWidth="1"/>
    <col min="56" max="56" width="36.33203125" bestFit="1" customWidth="1"/>
    <col min="57" max="57" width="17.5" bestFit="1" customWidth="1"/>
    <col min="58" max="58" width="33.6640625" bestFit="1" customWidth="1"/>
    <col min="59" max="59" width="41.33203125" bestFit="1" customWidth="1"/>
    <col min="60" max="60" width="6.83203125" bestFit="1" customWidth="1"/>
    <col min="61" max="61" width="28.6640625" bestFit="1" customWidth="1"/>
    <col min="62" max="62" width="29.1640625" bestFit="1" customWidth="1"/>
    <col min="63" max="63" width="28" bestFit="1" customWidth="1"/>
    <col min="64" max="64" width="28.6640625" bestFit="1" customWidth="1"/>
    <col min="65" max="65" width="38" bestFit="1" customWidth="1"/>
    <col min="66" max="66" width="35" bestFit="1" customWidth="1"/>
    <col min="67" max="67" width="14.6640625" bestFit="1" customWidth="1"/>
  </cols>
  <sheetData>
    <row r="1" spans="1:67" x14ac:dyDescent="0.2">
      <c r="A1" s="17" t="s">
        <v>0</v>
      </c>
      <c r="B1" s="1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7" t="s">
        <v>2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9"/>
    </row>
    <row r="2" spans="1:67" x14ac:dyDescent="0.2">
      <c r="A2" s="17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7" t="s">
        <v>3</v>
      </c>
      <c r="O2" s="28"/>
      <c r="P2" s="29"/>
      <c r="Q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9"/>
      <c r="BO2" s="1" t="s">
        <v>4</v>
      </c>
    </row>
    <row r="3" spans="1:67" x14ac:dyDescent="0.2">
      <c r="A3" s="17"/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6"/>
      <c r="N3" s="27" t="s">
        <v>5</v>
      </c>
      <c r="O3" s="28"/>
      <c r="P3" s="29"/>
      <c r="Q3" s="2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9"/>
      <c r="BO3" s="1" t="s">
        <v>6</v>
      </c>
    </row>
    <row r="4" spans="1:67" x14ac:dyDescent="0.2">
      <c r="A4" s="30" t="s">
        <v>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2"/>
    </row>
    <row r="5" spans="1:67" ht="18.75" x14ac:dyDescent="0.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1</v>
      </c>
      <c r="L6" s="3"/>
      <c r="M6" s="3" t="s">
        <v>10</v>
      </c>
      <c r="N6" s="34">
        <v>2026</v>
      </c>
      <c r="O6" s="3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5" t="s">
        <v>11</v>
      </c>
      <c r="B8" s="37" t="s">
        <v>12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0" t="s">
        <v>13</v>
      </c>
    </row>
    <row r="9" spans="1:67" x14ac:dyDescent="0.2">
      <c r="A9" s="35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41"/>
    </row>
    <row r="10" spans="1:67" ht="15" x14ac:dyDescent="0.25">
      <c r="A10" s="35"/>
      <c r="B10" s="6" t="s">
        <v>79</v>
      </c>
      <c r="C10" s="7" t="s">
        <v>80</v>
      </c>
      <c r="D10" s="7" t="s">
        <v>81</v>
      </c>
      <c r="E10" s="8" t="s">
        <v>82</v>
      </c>
      <c r="F10" s="8" t="s">
        <v>83</v>
      </c>
      <c r="G10" s="8" t="s">
        <v>84</v>
      </c>
      <c r="H10" s="8" t="s">
        <v>85</v>
      </c>
      <c r="I10" s="7" t="s">
        <v>86</v>
      </c>
      <c r="J10" s="8" t="s">
        <v>87</v>
      </c>
      <c r="K10" s="8" t="s">
        <v>88</v>
      </c>
      <c r="L10" s="8" t="s">
        <v>89</v>
      </c>
      <c r="M10" s="8" t="s">
        <v>90</v>
      </c>
      <c r="N10" s="8" t="s">
        <v>91</v>
      </c>
      <c r="O10" s="8" t="s">
        <v>92</v>
      </c>
      <c r="P10" s="8" t="s">
        <v>93</v>
      </c>
      <c r="Q10" s="8" t="s">
        <v>94</v>
      </c>
      <c r="R10" s="8" t="s">
        <v>95</v>
      </c>
      <c r="S10" s="9" t="s">
        <v>96</v>
      </c>
      <c r="T10" s="8" t="s">
        <v>97</v>
      </c>
      <c r="U10" s="8" t="s">
        <v>98</v>
      </c>
      <c r="V10" s="8" t="s">
        <v>99</v>
      </c>
      <c r="W10" s="8" t="s">
        <v>100</v>
      </c>
      <c r="X10" s="8" t="s">
        <v>101</v>
      </c>
      <c r="Y10" s="8" t="s">
        <v>102</v>
      </c>
      <c r="Z10" s="8" t="s">
        <v>103</v>
      </c>
      <c r="AA10" s="8" t="s">
        <v>104</v>
      </c>
      <c r="AB10" s="8" t="s">
        <v>105</v>
      </c>
      <c r="AC10" s="8" t="s">
        <v>106</v>
      </c>
      <c r="AD10" s="8" t="s">
        <v>107</v>
      </c>
      <c r="AE10" s="8" t="s">
        <v>108</v>
      </c>
      <c r="AF10" s="8" t="s">
        <v>109</v>
      </c>
      <c r="AG10" s="8" t="s">
        <v>110</v>
      </c>
      <c r="AH10" s="8" t="s">
        <v>111</v>
      </c>
      <c r="AI10" s="8" t="s">
        <v>112</v>
      </c>
      <c r="AJ10" s="8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8" t="s">
        <v>123</v>
      </c>
      <c r="AU10" s="8" t="s">
        <v>124</v>
      </c>
      <c r="AV10" s="8" t="s">
        <v>125</v>
      </c>
      <c r="AW10" s="8" t="s">
        <v>126</v>
      </c>
      <c r="AX10" s="8" t="s">
        <v>127</v>
      </c>
      <c r="AY10" s="8" t="s">
        <v>128</v>
      </c>
      <c r="AZ10" s="7" t="s">
        <v>129</v>
      </c>
      <c r="BA10" s="7" t="s">
        <v>130</v>
      </c>
      <c r="BB10" s="7" t="s">
        <v>131</v>
      </c>
      <c r="BC10" s="7" t="s">
        <v>132</v>
      </c>
      <c r="BD10" s="7" t="s">
        <v>133</v>
      </c>
      <c r="BE10" s="7" t="s">
        <v>134</v>
      </c>
      <c r="BF10" s="7" t="s">
        <v>135</v>
      </c>
      <c r="BG10" s="7" t="s">
        <v>136</v>
      </c>
      <c r="BH10" s="8"/>
      <c r="BI10" s="8" t="s">
        <v>137</v>
      </c>
      <c r="BJ10" s="8" t="s">
        <v>138</v>
      </c>
      <c r="BK10" s="8" t="s">
        <v>139</v>
      </c>
      <c r="BL10" s="8" t="s">
        <v>140</v>
      </c>
      <c r="BM10" s="8" t="s">
        <v>141</v>
      </c>
      <c r="BN10" s="8" t="s">
        <v>142</v>
      </c>
      <c r="BO10" s="41"/>
    </row>
    <row r="11" spans="1:67" x14ac:dyDescent="0.2">
      <c r="A11" s="36"/>
      <c r="B11" s="6" t="s">
        <v>143</v>
      </c>
      <c r="C11" s="10" t="s">
        <v>144</v>
      </c>
      <c r="D11" s="10" t="s">
        <v>145</v>
      </c>
      <c r="E11" s="10" t="s">
        <v>146</v>
      </c>
      <c r="F11" s="10" t="s">
        <v>147</v>
      </c>
      <c r="G11" s="10" t="s">
        <v>148</v>
      </c>
      <c r="H11" s="10" t="s">
        <v>149</v>
      </c>
      <c r="I11" s="10" t="s">
        <v>150</v>
      </c>
      <c r="J11" s="10" t="s">
        <v>151</v>
      </c>
      <c r="K11" s="10" t="s">
        <v>152</v>
      </c>
      <c r="L11" s="10" t="s">
        <v>153</v>
      </c>
      <c r="M11" s="10" t="s">
        <v>154</v>
      </c>
      <c r="N11" s="10" t="s">
        <v>155</v>
      </c>
      <c r="O11" s="10" t="s">
        <v>156</v>
      </c>
      <c r="P11" s="10" t="s">
        <v>157</v>
      </c>
      <c r="Q11" s="10" t="s">
        <v>158</v>
      </c>
      <c r="R11" s="10" t="s">
        <v>159</v>
      </c>
      <c r="S11" s="10" t="s">
        <v>160</v>
      </c>
      <c r="T11" s="10" t="s">
        <v>161</v>
      </c>
      <c r="U11" s="10" t="s">
        <v>162</v>
      </c>
      <c r="V11" s="10" t="s">
        <v>163</v>
      </c>
      <c r="W11" s="10" t="s">
        <v>164</v>
      </c>
      <c r="X11" s="10" t="s">
        <v>165</v>
      </c>
      <c r="Y11" s="10" t="s">
        <v>166</v>
      </c>
      <c r="Z11" s="10" t="s">
        <v>167</v>
      </c>
      <c r="AA11" s="10" t="s">
        <v>168</v>
      </c>
      <c r="AB11" s="10" t="s">
        <v>169</v>
      </c>
      <c r="AC11" s="10" t="s">
        <v>170</v>
      </c>
      <c r="AD11" s="10" t="s">
        <v>171</v>
      </c>
      <c r="AE11" s="10" t="s">
        <v>172</v>
      </c>
      <c r="AF11" s="10" t="s">
        <v>173</v>
      </c>
      <c r="AG11" s="10" t="s">
        <v>174</v>
      </c>
      <c r="AH11" s="10" t="s">
        <v>175</v>
      </c>
      <c r="AI11" s="10" t="s">
        <v>176</v>
      </c>
      <c r="AJ11" s="10" t="s">
        <v>177</v>
      </c>
      <c r="AK11" s="10" t="s">
        <v>178</v>
      </c>
      <c r="AL11" s="10" t="s">
        <v>179</v>
      </c>
      <c r="AM11" s="10" t="s">
        <v>180</v>
      </c>
      <c r="AN11" s="10" t="s">
        <v>181</v>
      </c>
      <c r="AO11" s="10" t="s">
        <v>182</v>
      </c>
      <c r="AP11" s="10" t="s">
        <v>183</v>
      </c>
      <c r="AQ11" s="10" t="s">
        <v>184</v>
      </c>
      <c r="AR11" s="10" t="s">
        <v>185</v>
      </c>
      <c r="AS11" s="10" t="s">
        <v>186</v>
      </c>
      <c r="AT11" s="10" t="s">
        <v>187</v>
      </c>
      <c r="AU11" s="10" t="s">
        <v>188</v>
      </c>
      <c r="AV11" s="10" t="s">
        <v>189</v>
      </c>
      <c r="AW11" s="10" t="s">
        <v>190</v>
      </c>
      <c r="AX11" s="10" t="s">
        <v>191</v>
      </c>
      <c r="AY11" s="10" t="s">
        <v>192</v>
      </c>
      <c r="AZ11" s="10" t="s">
        <v>193</v>
      </c>
      <c r="BA11" s="10" t="s">
        <v>194</v>
      </c>
      <c r="BB11" s="10" t="s">
        <v>195</v>
      </c>
      <c r="BC11" s="10" t="s">
        <v>196</v>
      </c>
      <c r="BD11" s="10" t="s">
        <v>197</v>
      </c>
      <c r="BE11" s="10" t="s">
        <v>198</v>
      </c>
      <c r="BF11" s="10" t="s">
        <v>199</v>
      </c>
      <c r="BG11" s="10" t="s">
        <v>200</v>
      </c>
      <c r="BH11" s="10"/>
      <c r="BI11" s="10" t="s">
        <v>201</v>
      </c>
      <c r="BJ11" s="10" t="s">
        <v>202</v>
      </c>
      <c r="BK11" s="10" t="s">
        <v>203</v>
      </c>
      <c r="BL11" s="10" t="s">
        <v>204</v>
      </c>
      <c r="BM11" s="10" t="s">
        <v>205</v>
      </c>
      <c r="BN11" s="11" t="s">
        <v>206</v>
      </c>
      <c r="BO11" s="42"/>
    </row>
    <row r="12" spans="1:67" ht="15.75" x14ac:dyDescent="0.2">
      <c r="A12" s="43">
        <f>DATE(N6,K6,1)</f>
        <v>46023</v>
      </c>
      <c r="B12" s="4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3"/>
    </row>
    <row r="13" spans="1:67" ht="15.75" x14ac:dyDescent="0.2">
      <c r="A13" s="43">
        <f>A12+1</f>
        <v>46024</v>
      </c>
      <c r="B13" s="4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spans="1:67" ht="15.75" x14ac:dyDescent="0.2">
      <c r="A14" s="43">
        <f t="shared" ref="A14:A39" si="0">A13+1</f>
        <v>46025</v>
      </c>
      <c r="B14" s="4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15.75" x14ac:dyDescent="0.2">
      <c r="A15" s="43">
        <f t="shared" si="0"/>
        <v>46026</v>
      </c>
      <c r="B15" s="4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spans="1:67" ht="15.75" x14ac:dyDescent="0.2">
      <c r="A16" s="43">
        <f t="shared" si="0"/>
        <v>46027</v>
      </c>
      <c r="B16" s="4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67" ht="15.75" x14ac:dyDescent="0.2">
      <c r="A17" s="43">
        <f t="shared" si="0"/>
        <v>46028</v>
      </c>
      <c r="B17" s="4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spans="1:67" ht="15.75" x14ac:dyDescent="0.2">
      <c r="A18" s="43">
        <f t="shared" si="0"/>
        <v>46029</v>
      </c>
      <c r="B18" s="4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spans="1:67" ht="15.75" x14ac:dyDescent="0.2">
      <c r="A19" s="43">
        <f t="shared" si="0"/>
        <v>46030</v>
      </c>
      <c r="B19" s="4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spans="1:67" ht="15.75" x14ac:dyDescent="0.2">
      <c r="A20" s="43">
        <f t="shared" si="0"/>
        <v>46031</v>
      </c>
      <c r="B20" s="4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spans="1:67" ht="15.75" x14ac:dyDescent="0.2">
      <c r="A21" s="43">
        <f t="shared" si="0"/>
        <v>46032</v>
      </c>
      <c r="B21" s="4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spans="1:67" ht="15.75" x14ac:dyDescent="0.2">
      <c r="A22" s="43">
        <f t="shared" si="0"/>
        <v>46033</v>
      </c>
      <c r="B22" s="4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spans="1:67" ht="15.75" x14ac:dyDescent="0.2">
      <c r="A23" s="43">
        <f t="shared" si="0"/>
        <v>46034</v>
      </c>
      <c r="B23" s="4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spans="1:67" ht="15.75" x14ac:dyDescent="0.2">
      <c r="A24" s="43">
        <f t="shared" si="0"/>
        <v>46035</v>
      </c>
      <c r="B24" s="4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spans="1:67" ht="15.75" x14ac:dyDescent="0.2">
      <c r="A25" s="43">
        <f t="shared" si="0"/>
        <v>46036</v>
      </c>
      <c r="B25" s="4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spans="1:67" ht="15.75" x14ac:dyDescent="0.2">
      <c r="A26" s="43">
        <f t="shared" si="0"/>
        <v>46037</v>
      </c>
      <c r="B26" s="4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spans="1:67" ht="15.75" x14ac:dyDescent="0.2">
      <c r="A27" s="43">
        <f t="shared" si="0"/>
        <v>46038</v>
      </c>
      <c r="B27" s="4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spans="1:67" ht="15.75" x14ac:dyDescent="0.2">
      <c r="A28" s="43">
        <f t="shared" si="0"/>
        <v>46039</v>
      </c>
      <c r="B28" s="4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spans="1:67" ht="15.75" x14ac:dyDescent="0.2">
      <c r="A29" s="43">
        <f t="shared" si="0"/>
        <v>46040</v>
      </c>
      <c r="B29" s="4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spans="1:67" ht="15.75" x14ac:dyDescent="0.2">
      <c r="A30" s="43">
        <f t="shared" si="0"/>
        <v>46041</v>
      </c>
      <c r="B30" s="4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spans="1:67" ht="15.75" x14ac:dyDescent="0.2">
      <c r="A31" s="43">
        <f t="shared" si="0"/>
        <v>46042</v>
      </c>
      <c r="B31" s="4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spans="1:67" ht="15.75" x14ac:dyDescent="0.2">
      <c r="A32" s="43">
        <f t="shared" si="0"/>
        <v>46043</v>
      </c>
      <c r="B32" s="4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spans="1:67" ht="15.75" x14ac:dyDescent="0.2">
      <c r="A33" s="43">
        <f t="shared" si="0"/>
        <v>46044</v>
      </c>
      <c r="B33" s="4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spans="1:67" ht="15.75" x14ac:dyDescent="0.2">
      <c r="A34" s="43">
        <f>A33+1</f>
        <v>46045</v>
      </c>
      <c r="B34" s="44"/>
      <c r="C34" s="13" t="s">
        <v>211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 t="s">
        <v>212</v>
      </c>
    </row>
    <row r="35" spans="1:67" ht="15.75" x14ac:dyDescent="0.2">
      <c r="A35" s="43">
        <f t="shared" si="0"/>
        <v>46046</v>
      </c>
      <c r="B35" s="4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spans="1:67" ht="15.75" x14ac:dyDescent="0.2">
      <c r="A36" s="43">
        <f t="shared" si="0"/>
        <v>46047</v>
      </c>
      <c r="B36" s="4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spans="1:67" ht="15.75" x14ac:dyDescent="0.2">
      <c r="A37" s="43">
        <f t="shared" si="0"/>
        <v>46048</v>
      </c>
      <c r="B37" s="4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spans="1:67" ht="15.75" x14ac:dyDescent="0.2">
      <c r="A38" s="43">
        <f t="shared" si="0"/>
        <v>46049</v>
      </c>
      <c r="B38" s="4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spans="1:67" ht="15.75" x14ac:dyDescent="0.2">
      <c r="A39" s="43">
        <f t="shared" si="0"/>
        <v>46050</v>
      </c>
      <c r="B39" s="4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spans="1:67" ht="15.75" x14ac:dyDescent="0.2">
      <c r="A40" s="43">
        <f>IF(A39="","",IF(A39=EOMONTH(DATE($N$6,$K$6,1),0),"",A39+1))</f>
        <v>46051</v>
      </c>
      <c r="B40" s="4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spans="1:67" ht="15.75" x14ac:dyDescent="0.2">
      <c r="A41" s="43">
        <f>IF(A40="","",IF(A40=EOMONTH(DATE($N$6,$K$6,1),0),"",A40+1))</f>
        <v>46052</v>
      </c>
      <c r="B41" s="4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spans="1:67" ht="15.75" x14ac:dyDescent="0.2">
      <c r="A42" s="43">
        <f>IF(A41="","",IF(A41=EOMONTH(DATE($N$6,$K$6,1),0),"",A41+1))</f>
        <v>46053</v>
      </c>
      <c r="B42" s="4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spans="1:67" ht="13.5" x14ac:dyDescent="0.25">
      <c r="A43" s="14" t="s">
        <v>207</v>
      </c>
      <c r="B43" s="45" t="s">
        <v>208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</row>
    <row r="44" spans="1:67" x14ac:dyDescent="0.2">
      <c r="A44" s="16"/>
      <c r="B44" s="15" t="s">
        <v>209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 t="s">
        <v>210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O24" sqref="O24"/>
    </sheetView>
  </sheetViews>
  <sheetFormatPr defaultRowHeight="12.75" x14ac:dyDescent="0.2"/>
  <cols>
    <col min="1" max="2" width="23.5" bestFit="1" customWidth="1"/>
    <col min="3" max="3" width="35.6640625" bestFit="1" customWidth="1"/>
    <col min="4" max="4" width="36.33203125" bestFit="1" customWidth="1"/>
    <col min="5" max="5" width="31.6640625" bestFit="1" customWidth="1"/>
    <col min="6" max="6" width="31.83203125" bestFit="1" customWidth="1"/>
    <col min="7" max="7" width="25.83203125" bestFit="1" customWidth="1"/>
    <col min="8" max="8" width="27.5" bestFit="1" customWidth="1"/>
    <col min="9" max="9" width="25.33203125" bestFit="1" customWidth="1"/>
    <col min="10" max="10" width="22.83203125" bestFit="1" customWidth="1"/>
    <col min="11" max="11" width="35.33203125" bestFit="1" customWidth="1"/>
    <col min="12" max="12" width="22.83203125" bestFit="1" customWidth="1"/>
    <col min="13" max="13" width="30.1640625" bestFit="1" customWidth="1"/>
    <col min="14" max="14" width="38.5" bestFit="1" customWidth="1"/>
    <col min="15" max="15" width="41.6640625" bestFit="1" customWidth="1"/>
    <col min="16" max="16" width="28.33203125" bestFit="1" customWidth="1"/>
    <col min="17" max="17" width="40.1640625" bestFit="1" customWidth="1"/>
    <col min="18" max="18" width="31.33203125" bestFit="1" customWidth="1"/>
    <col min="19" max="19" width="40.6640625" bestFit="1" customWidth="1"/>
    <col min="20" max="20" width="36.33203125" bestFit="1" customWidth="1"/>
    <col min="21" max="21" width="39.6640625" bestFit="1" customWidth="1"/>
    <col min="22" max="22" width="43.33203125" bestFit="1" customWidth="1"/>
    <col min="23" max="23" width="31.33203125" bestFit="1" customWidth="1"/>
    <col min="24" max="24" width="30.1640625" bestFit="1" customWidth="1"/>
    <col min="25" max="25" width="32.83203125" bestFit="1" customWidth="1"/>
    <col min="26" max="26" width="37" bestFit="1" customWidth="1"/>
    <col min="27" max="27" width="28.5" bestFit="1" customWidth="1"/>
    <col min="28" max="28" width="42.33203125" bestFit="1" customWidth="1"/>
    <col min="29" max="29" width="40.1640625" bestFit="1" customWidth="1"/>
    <col min="30" max="30" width="32.83203125" bestFit="1" customWidth="1"/>
    <col min="31" max="31" width="44" bestFit="1" customWidth="1"/>
    <col min="32" max="32" width="40.83203125" bestFit="1" customWidth="1"/>
    <col min="33" max="33" width="23" bestFit="1" customWidth="1"/>
    <col min="34" max="34" width="29.1640625" bestFit="1" customWidth="1"/>
    <col min="35" max="35" width="36.83203125" bestFit="1" customWidth="1"/>
    <col min="36" max="36" width="42.5" bestFit="1" customWidth="1"/>
    <col min="37" max="37" width="40.6640625" bestFit="1" customWidth="1"/>
    <col min="38" max="38" width="37.5" bestFit="1" customWidth="1"/>
    <col min="39" max="39" width="32.5" bestFit="1" customWidth="1"/>
    <col min="40" max="40" width="30.6640625" bestFit="1" customWidth="1"/>
    <col min="41" max="41" width="25.1640625" bestFit="1" customWidth="1"/>
    <col min="42" max="42" width="30" bestFit="1" customWidth="1"/>
    <col min="43" max="43" width="30.1640625" bestFit="1" customWidth="1"/>
    <col min="44" max="44" width="27.33203125" bestFit="1" customWidth="1"/>
    <col min="45" max="45" width="29" bestFit="1" customWidth="1"/>
    <col min="46" max="46" width="44.6640625" bestFit="1" customWidth="1"/>
    <col min="47" max="47" width="45.83203125" bestFit="1" customWidth="1"/>
    <col min="48" max="48" width="29.6640625" bestFit="1" customWidth="1"/>
    <col min="49" max="49" width="30.1640625" bestFit="1" customWidth="1"/>
    <col min="50" max="51" width="24.6640625" bestFit="1" customWidth="1"/>
    <col min="52" max="52" width="31.33203125" bestFit="1" customWidth="1"/>
    <col min="53" max="53" width="32.83203125" bestFit="1" customWidth="1"/>
    <col min="54" max="54" width="43.33203125" bestFit="1" customWidth="1"/>
    <col min="55" max="55" width="30.1640625" bestFit="1" customWidth="1"/>
    <col min="56" max="56" width="36.33203125" bestFit="1" customWidth="1"/>
    <col min="57" max="57" width="17.5" bestFit="1" customWidth="1"/>
    <col min="58" max="58" width="33.6640625" bestFit="1" customWidth="1"/>
    <col min="59" max="59" width="41.33203125" bestFit="1" customWidth="1"/>
    <col min="60" max="60" width="6.83203125" bestFit="1" customWidth="1"/>
    <col min="61" max="61" width="28.6640625" bestFit="1" customWidth="1"/>
    <col min="62" max="62" width="29.1640625" bestFit="1" customWidth="1"/>
    <col min="63" max="63" width="28" bestFit="1" customWidth="1"/>
    <col min="64" max="64" width="28.6640625" bestFit="1" customWidth="1"/>
    <col min="65" max="65" width="38" bestFit="1" customWidth="1"/>
    <col min="66" max="66" width="35" bestFit="1" customWidth="1"/>
    <col min="67" max="67" width="14.6640625" bestFit="1" customWidth="1"/>
  </cols>
  <sheetData>
    <row r="1" spans="1:67" x14ac:dyDescent="0.2">
      <c r="A1" s="17" t="s">
        <v>0</v>
      </c>
      <c r="B1" s="1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7" t="s">
        <v>2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9"/>
    </row>
    <row r="2" spans="1:67" x14ac:dyDescent="0.2">
      <c r="A2" s="17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7" t="s">
        <v>3</v>
      </c>
      <c r="O2" s="28"/>
      <c r="P2" s="29"/>
      <c r="Q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9"/>
      <c r="BO2" s="1" t="s">
        <v>4</v>
      </c>
    </row>
    <row r="3" spans="1:67" x14ac:dyDescent="0.2">
      <c r="A3" s="17"/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6"/>
      <c r="N3" s="27" t="s">
        <v>5</v>
      </c>
      <c r="O3" s="28"/>
      <c r="P3" s="29"/>
      <c r="Q3" s="2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9"/>
      <c r="BO3" s="1" t="s">
        <v>6</v>
      </c>
    </row>
    <row r="4" spans="1:67" x14ac:dyDescent="0.2">
      <c r="A4" s="30" t="s">
        <v>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2"/>
    </row>
    <row r="5" spans="1:67" ht="18.75" x14ac:dyDescent="0.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2</v>
      </c>
      <c r="L6" s="3"/>
      <c r="M6" s="3" t="s">
        <v>10</v>
      </c>
      <c r="N6" s="34">
        <v>2026</v>
      </c>
      <c r="O6" s="3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5" t="s">
        <v>11</v>
      </c>
      <c r="B8" s="37" t="s">
        <v>12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0" t="s">
        <v>13</v>
      </c>
    </row>
    <row r="9" spans="1:67" x14ac:dyDescent="0.2">
      <c r="A9" s="35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41"/>
    </row>
    <row r="10" spans="1:67" ht="15" x14ac:dyDescent="0.25">
      <c r="A10" s="35"/>
      <c r="B10" s="6" t="s">
        <v>79</v>
      </c>
      <c r="C10" s="7" t="s">
        <v>80</v>
      </c>
      <c r="D10" s="7" t="s">
        <v>81</v>
      </c>
      <c r="E10" s="8" t="s">
        <v>82</v>
      </c>
      <c r="F10" s="8" t="s">
        <v>83</v>
      </c>
      <c r="G10" s="8" t="s">
        <v>84</v>
      </c>
      <c r="H10" s="8" t="s">
        <v>85</v>
      </c>
      <c r="I10" s="7" t="s">
        <v>86</v>
      </c>
      <c r="J10" s="8" t="s">
        <v>87</v>
      </c>
      <c r="K10" s="8" t="s">
        <v>88</v>
      </c>
      <c r="L10" s="8" t="s">
        <v>89</v>
      </c>
      <c r="M10" s="8" t="s">
        <v>90</v>
      </c>
      <c r="N10" s="8" t="s">
        <v>91</v>
      </c>
      <c r="O10" s="8" t="s">
        <v>92</v>
      </c>
      <c r="P10" s="8" t="s">
        <v>93</v>
      </c>
      <c r="Q10" s="8" t="s">
        <v>94</v>
      </c>
      <c r="R10" s="8" t="s">
        <v>95</v>
      </c>
      <c r="S10" s="9" t="s">
        <v>96</v>
      </c>
      <c r="T10" s="8" t="s">
        <v>97</v>
      </c>
      <c r="U10" s="8" t="s">
        <v>98</v>
      </c>
      <c r="V10" s="8" t="s">
        <v>99</v>
      </c>
      <c r="W10" s="8" t="s">
        <v>100</v>
      </c>
      <c r="X10" s="8" t="s">
        <v>101</v>
      </c>
      <c r="Y10" s="8" t="s">
        <v>102</v>
      </c>
      <c r="Z10" s="8" t="s">
        <v>103</v>
      </c>
      <c r="AA10" s="8" t="s">
        <v>104</v>
      </c>
      <c r="AB10" s="8" t="s">
        <v>105</v>
      </c>
      <c r="AC10" s="8" t="s">
        <v>106</v>
      </c>
      <c r="AD10" s="8" t="s">
        <v>107</v>
      </c>
      <c r="AE10" s="8" t="s">
        <v>108</v>
      </c>
      <c r="AF10" s="8" t="s">
        <v>109</v>
      </c>
      <c r="AG10" s="8" t="s">
        <v>110</v>
      </c>
      <c r="AH10" s="8" t="s">
        <v>111</v>
      </c>
      <c r="AI10" s="8" t="s">
        <v>112</v>
      </c>
      <c r="AJ10" s="8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8" t="s">
        <v>123</v>
      </c>
      <c r="AU10" s="8" t="s">
        <v>124</v>
      </c>
      <c r="AV10" s="8" t="s">
        <v>125</v>
      </c>
      <c r="AW10" s="8" t="s">
        <v>126</v>
      </c>
      <c r="AX10" s="8" t="s">
        <v>127</v>
      </c>
      <c r="AY10" s="8" t="s">
        <v>128</v>
      </c>
      <c r="AZ10" s="7" t="s">
        <v>129</v>
      </c>
      <c r="BA10" s="7" t="s">
        <v>130</v>
      </c>
      <c r="BB10" s="7" t="s">
        <v>131</v>
      </c>
      <c r="BC10" s="7" t="s">
        <v>132</v>
      </c>
      <c r="BD10" s="7" t="s">
        <v>133</v>
      </c>
      <c r="BE10" s="7" t="s">
        <v>134</v>
      </c>
      <c r="BF10" s="7" t="s">
        <v>135</v>
      </c>
      <c r="BG10" s="7" t="s">
        <v>136</v>
      </c>
      <c r="BH10" s="8"/>
      <c r="BI10" s="8" t="s">
        <v>137</v>
      </c>
      <c r="BJ10" s="8" t="s">
        <v>138</v>
      </c>
      <c r="BK10" s="8" t="s">
        <v>139</v>
      </c>
      <c r="BL10" s="8" t="s">
        <v>140</v>
      </c>
      <c r="BM10" s="8" t="s">
        <v>141</v>
      </c>
      <c r="BN10" s="8" t="s">
        <v>142</v>
      </c>
      <c r="BO10" s="41"/>
    </row>
    <row r="11" spans="1:67" x14ac:dyDescent="0.2">
      <c r="A11" s="36"/>
      <c r="B11" s="6" t="s">
        <v>143</v>
      </c>
      <c r="C11" s="10" t="s">
        <v>144</v>
      </c>
      <c r="D11" s="10" t="s">
        <v>145</v>
      </c>
      <c r="E11" s="10" t="s">
        <v>146</v>
      </c>
      <c r="F11" s="10" t="s">
        <v>147</v>
      </c>
      <c r="G11" s="10" t="s">
        <v>148</v>
      </c>
      <c r="H11" s="10" t="s">
        <v>149</v>
      </c>
      <c r="I11" s="10" t="s">
        <v>150</v>
      </c>
      <c r="J11" s="10" t="s">
        <v>151</v>
      </c>
      <c r="K11" s="10" t="s">
        <v>152</v>
      </c>
      <c r="L11" s="10" t="s">
        <v>153</v>
      </c>
      <c r="M11" s="10" t="s">
        <v>154</v>
      </c>
      <c r="N11" s="10" t="s">
        <v>155</v>
      </c>
      <c r="O11" s="10" t="s">
        <v>156</v>
      </c>
      <c r="P11" s="10" t="s">
        <v>157</v>
      </c>
      <c r="Q11" s="10" t="s">
        <v>158</v>
      </c>
      <c r="R11" s="10" t="s">
        <v>159</v>
      </c>
      <c r="S11" s="10" t="s">
        <v>160</v>
      </c>
      <c r="T11" s="10" t="s">
        <v>161</v>
      </c>
      <c r="U11" s="10" t="s">
        <v>162</v>
      </c>
      <c r="V11" s="10" t="s">
        <v>163</v>
      </c>
      <c r="W11" s="10" t="s">
        <v>164</v>
      </c>
      <c r="X11" s="10" t="s">
        <v>165</v>
      </c>
      <c r="Y11" s="10" t="s">
        <v>166</v>
      </c>
      <c r="Z11" s="10" t="s">
        <v>167</v>
      </c>
      <c r="AA11" s="10" t="s">
        <v>168</v>
      </c>
      <c r="AB11" s="10" t="s">
        <v>169</v>
      </c>
      <c r="AC11" s="10" t="s">
        <v>170</v>
      </c>
      <c r="AD11" s="10" t="s">
        <v>171</v>
      </c>
      <c r="AE11" s="10" t="s">
        <v>172</v>
      </c>
      <c r="AF11" s="10" t="s">
        <v>173</v>
      </c>
      <c r="AG11" s="10" t="s">
        <v>174</v>
      </c>
      <c r="AH11" s="10" t="s">
        <v>175</v>
      </c>
      <c r="AI11" s="10" t="s">
        <v>176</v>
      </c>
      <c r="AJ11" s="10" t="s">
        <v>177</v>
      </c>
      <c r="AK11" s="10" t="s">
        <v>178</v>
      </c>
      <c r="AL11" s="10" t="s">
        <v>179</v>
      </c>
      <c r="AM11" s="10" t="s">
        <v>180</v>
      </c>
      <c r="AN11" s="10" t="s">
        <v>181</v>
      </c>
      <c r="AO11" s="10" t="s">
        <v>182</v>
      </c>
      <c r="AP11" s="10" t="s">
        <v>183</v>
      </c>
      <c r="AQ11" s="10" t="s">
        <v>184</v>
      </c>
      <c r="AR11" s="10" t="s">
        <v>185</v>
      </c>
      <c r="AS11" s="10" t="s">
        <v>186</v>
      </c>
      <c r="AT11" s="10" t="s">
        <v>187</v>
      </c>
      <c r="AU11" s="10" t="s">
        <v>188</v>
      </c>
      <c r="AV11" s="10" t="s">
        <v>189</v>
      </c>
      <c r="AW11" s="10" t="s">
        <v>190</v>
      </c>
      <c r="AX11" s="10" t="s">
        <v>191</v>
      </c>
      <c r="AY11" s="10" t="s">
        <v>192</v>
      </c>
      <c r="AZ11" s="10" t="s">
        <v>193</v>
      </c>
      <c r="BA11" s="10" t="s">
        <v>194</v>
      </c>
      <c r="BB11" s="10" t="s">
        <v>195</v>
      </c>
      <c r="BC11" s="10" t="s">
        <v>196</v>
      </c>
      <c r="BD11" s="10" t="s">
        <v>197</v>
      </c>
      <c r="BE11" s="10" t="s">
        <v>198</v>
      </c>
      <c r="BF11" s="10" t="s">
        <v>199</v>
      </c>
      <c r="BG11" s="10" t="s">
        <v>200</v>
      </c>
      <c r="BH11" s="10"/>
      <c r="BI11" s="10" t="s">
        <v>201</v>
      </c>
      <c r="BJ11" s="10" t="s">
        <v>202</v>
      </c>
      <c r="BK11" s="10" t="s">
        <v>203</v>
      </c>
      <c r="BL11" s="10" t="s">
        <v>204</v>
      </c>
      <c r="BM11" s="10" t="s">
        <v>205</v>
      </c>
      <c r="BN11" s="11" t="s">
        <v>206</v>
      </c>
      <c r="BO11" s="42"/>
    </row>
    <row r="12" spans="1:67" ht="15.75" x14ac:dyDescent="0.2">
      <c r="A12" s="43">
        <f>DATE(N6,K6,1)</f>
        <v>46054</v>
      </c>
      <c r="B12" s="4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3"/>
    </row>
    <row r="13" spans="1:67" ht="15.75" x14ac:dyDescent="0.2">
      <c r="A13" s="43">
        <f>A12+1</f>
        <v>46055</v>
      </c>
      <c r="B13" s="4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spans="1:67" ht="15.75" x14ac:dyDescent="0.2">
      <c r="A14" s="43">
        <f t="shared" ref="A14:A39" si="0">A13+1</f>
        <v>46056</v>
      </c>
      <c r="B14" s="4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15.75" x14ac:dyDescent="0.2">
      <c r="A15" s="43">
        <f t="shared" si="0"/>
        <v>46057</v>
      </c>
      <c r="B15" s="4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spans="1:67" ht="15.75" x14ac:dyDescent="0.2">
      <c r="A16" s="43">
        <f t="shared" si="0"/>
        <v>46058</v>
      </c>
      <c r="B16" s="4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67" ht="15.75" x14ac:dyDescent="0.2">
      <c r="A17" s="43">
        <f t="shared" si="0"/>
        <v>46059</v>
      </c>
      <c r="B17" s="4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spans="1:67" ht="15.75" x14ac:dyDescent="0.2">
      <c r="A18" s="43">
        <f t="shared" si="0"/>
        <v>46060</v>
      </c>
      <c r="B18" s="4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spans="1:67" ht="15.75" x14ac:dyDescent="0.2">
      <c r="A19" s="43">
        <f t="shared" si="0"/>
        <v>46061</v>
      </c>
      <c r="B19" s="4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spans="1:67" ht="15.75" x14ac:dyDescent="0.2">
      <c r="A20" s="43">
        <f t="shared" si="0"/>
        <v>46062</v>
      </c>
      <c r="B20" s="4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spans="1:67" ht="15.75" x14ac:dyDescent="0.2">
      <c r="A21" s="43">
        <f t="shared" si="0"/>
        <v>46063</v>
      </c>
      <c r="B21" s="4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spans="1:67" ht="15.75" x14ac:dyDescent="0.2">
      <c r="A22" s="43">
        <f t="shared" si="0"/>
        <v>46064</v>
      </c>
      <c r="B22" s="4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spans="1:67" ht="15.75" x14ac:dyDescent="0.2">
      <c r="A23" s="43">
        <f t="shared" si="0"/>
        <v>46065</v>
      </c>
      <c r="B23" s="4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spans="1:67" ht="15.75" x14ac:dyDescent="0.2">
      <c r="A24" s="43">
        <f t="shared" si="0"/>
        <v>46066</v>
      </c>
      <c r="B24" s="4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spans="1:67" ht="15.75" x14ac:dyDescent="0.2">
      <c r="A25" s="43">
        <f t="shared" si="0"/>
        <v>46067</v>
      </c>
      <c r="B25" s="4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spans="1:67" ht="15.75" x14ac:dyDescent="0.2">
      <c r="A26" s="43">
        <f t="shared" si="0"/>
        <v>46068</v>
      </c>
      <c r="B26" s="4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spans="1:67" ht="15.75" x14ac:dyDescent="0.2">
      <c r="A27" s="43">
        <f t="shared" si="0"/>
        <v>46069</v>
      </c>
      <c r="B27" s="4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spans="1:67" ht="15.75" x14ac:dyDescent="0.2">
      <c r="A28" s="43">
        <f t="shared" si="0"/>
        <v>46070</v>
      </c>
      <c r="B28" s="4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spans="1:67" ht="15.75" x14ac:dyDescent="0.2">
      <c r="A29" s="43">
        <f t="shared" si="0"/>
        <v>46071</v>
      </c>
      <c r="B29" s="4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spans="1:67" ht="15.75" x14ac:dyDescent="0.2">
      <c r="A30" s="43">
        <f t="shared" si="0"/>
        <v>46072</v>
      </c>
      <c r="B30" s="4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spans="1:67" ht="15.75" x14ac:dyDescent="0.2">
      <c r="A31" s="43">
        <f t="shared" si="0"/>
        <v>46073</v>
      </c>
      <c r="B31" s="4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spans="1:67" ht="15.75" x14ac:dyDescent="0.2">
      <c r="A32" s="43">
        <f t="shared" si="0"/>
        <v>46074</v>
      </c>
      <c r="B32" s="4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spans="1:67" ht="15.75" x14ac:dyDescent="0.2">
      <c r="A33" s="43">
        <f t="shared" si="0"/>
        <v>46075</v>
      </c>
      <c r="B33" s="4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spans="1:67" ht="15.75" x14ac:dyDescent="0.2">
      <c r="A34" s="43">
        <f>A33+1</f>
        <v>46076</v>
      </c>
      <c r="B34" s="4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spans="1:67" ht="15.75" x14ac:dyDescent="0.2">
      <c r="A35" s="43">
        <f t="shared" si="0"/>
        <v>46077</v>
      </c>
      <c r="B35" s="4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spans="1:67" ht="15.75" x14ac:dyDescent="0.2">
      <c r="A36" s="43">
        <f t="shared" si="0"/>
        <v>46078</v>
      </c>
      <c r="B36" s="4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spans="1:67" ht="15.75" x14ac:dyDescent="0.2">
      <c r="A37" s="43">
        <f t="shared" si="0"/>
        <v>46079</v>
      </c>
      <c r="B37" s="4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spans="1:67" ht="15.75" x14ac:dyDescent="0.2">
      <c r="A38" s="43">
        <f t="shared" si="0"/>
        <v>46080</v>
      </c>
      <c r="B38" s="4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spans="1:67" ht="15.75" x14ac:dyDescent="0.2">
      <c r="A39" s="43">
        <f t="shared" si="0"/>
        <v>46081</v>
      </c>
      <c r="B39" s="4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spans="1:67" ht="15.75" x14ac:dyDescent="0.2">
      <c r="A40" s="43" t="str">
        <f>IF(A39="","",IF(A39=EOMONTH(DATE($N$6,$K$6,1),0),"",A39+1))</f>
        <v/>
      </c>
      <c r="B40" s="4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spans="1:67" ht="15.75" x14ac:dyDescent="0.2">
      <c r="A41" s="43" t="str">
        <f>IF(A40="","",IF(A40=EOMONTH(DATE($N$6,$K$6,1),0),"",A40+1))</f>
        <v/>
      </c>
      <c r="B41" s="4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spans="1:67" ht="15.75" x14ac:dyDescent="0.2">
      <c r="A42" s="43" t="str">
        <f>IF(A41="","",IF(A41=EOMONTH(DATE($N$6,$K$6,1),0),"",A41+1))</f>
        <v/>
      </c>
      <c r="B42" s="4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spans="1:67" ht="13.5" x14ac:dyDescent="0.25">
      <c r="A43" s="14" t="s">
        <v>207</v>
      </c>
      <c r="B43" s="45" t="s">
        <v>208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</row>
    <row r="44" spans="1:67" x14ac:dyDescent="0.2">
      <c r="A44" s="16"/>
      <c r="B44" s="15" t="s">
        <v>209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 t="s">
        <v>210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G27" sqref="G27"/>
    </sheetView>
  </sheetViews>
  <sheetFormatPr defaultRowHeight="12.75" x14ac:dyDescent="0.2"/>
  <cols>
    <col min="1" max="2" width="23.5" bestFit="1" customWidth="1"/>
    <col min="3" max="3" width="35.6640625" bestFit="1" customWidth="1"/>
    <col min="4" max="4" width="36.33203125" bestFit="1" customWidth="1"/>
    <col min="5" max="5" width="31.6640625" bestFit="1" customWidth="1"/>
    <col min="6" max="6" width="31.83203125" bestFit="1" customWidth="1"/>
    <col min="7" max="7" width="25.83203125" bestFit="1" customWidth="1"/>
    <col min="8" max="8" width="27.5" bestFit="1" customWidth="1"/>
    <col min="9" max="9" width="25.33203125" bestFit="1" customWidth="1"/>
    <col min="10" max="10" width="22.83203125" bestFit="1" customWidth="1"/>
    <col min="11" max="11" width="35.33203125" bestFit="1" customWidth="1"/>
    <col min="12" max="12" width="22.83203125" bestFit="1" customWidth="1"/>
    <col min="13" max="13" width="30.1640625" bestFit="1" customWidth="1"/>
    <col min="14" max="14" width="38.5" bestFit="1" customWidth="1"/>
    <col min="15" max="15" width="41.6640625" bestFit="1" customWidth="1"/>
    <col min="16" max="16" width="28.33203125" bestFit="1" customWidth="1"/>
    <col min="17" max="17" width="40.1640625" bestFit="1" customWidth="1"/>
    <col min="18" max="18" width="31.33203125" bestFit="1" customWidth="1"/>
    <col min="19" max="19" width="40.6640625" bestFit="1" customWidth="1"/>
    <col min="20" max="20" width="36.33203125" bestFit="1" customWidth="1"/>
    <col min="21" max="21" width="39.6640625" bestFit="1" customWidth="1"/>
    <col min="22" max="22" width="43.33203125" bestFit="1" customWidth="1"/>
    <col min="23" max="23" width="31.33203125" bestFit="1" customWidth="1"/>
    <col min="24" max="24" width="30.1640625" bestFit="1" customWidth="1"/>
    <col min="25" max="25" width="32.83203125" bestFit="1" customWidth="1"/>
    <col min="26" max="26" width="37" bestFit="1" customWidth="1"/>
    <col min="27" max="27" width="28.5" bestFit="1" customWidth="1"/>
    <col min="28" max="28" width="42.33203125" bestFit="1" customWidth="1"/>
    <col min="29" max="29" width="40.1640625" bestFit="1" customWidth="1"/>
    <col min="30" max="30" width="32.83203125" bestFit="1" customWidth="1"/>
    <col min="31" max="31" width="44" bestFit="1" customWidth="1"/>
    <col min="32" max="32" width="40.83203125" bestFit="1" customWidth="1"/>
    <col min="33" max="33" width="23" bestFit="1" customWidth="1"/>
    <col min="34" max="34" width="29.1640625" bestFit="1" customWidth="1"/>
    <col min="35" max="35" width="36.83203125" bestFit="1" customWidth="1"/>
    <col min="36" max="36" width="42.5" bestFit="1" customWidth="1"/>
    <col min="37" max="37" width="40.6640625" bestFit="1" customWidth="1"/>
    <col min="38" max="38" width="37.5" bestFit="1" customWidth="1"/>
    <col min="39" max="39" width="32.5" bestFit="1" customWidth="1"/>
    <col min="40" max="40" width="30.6640625" bestFit="1" customWidth="1"/>
    <col min="41" max="41" width="25.1640625" bestFit="1" customWidth="1"/>
    <col min="42" max="42" width="30" bestFit="1" customWidth="1"/>
    <col min="43" max="43" width="30.1640625" bestFit="1" customWidth="1"/>
    <col min="44" max="44" width="27.33203125" bestFit="1" customWidth="1"/>
    <col min="45" max="45" width="29" bestFit="1" customWidth="1"/>
    <col min="46" max="46" width="44.6640625" bestFit="1" customWidth="1"/>
    <col min="47" max="47" width="45.83203125" bestFit="1" customWidth="1"/>
    <col min="48" max="48" width="29.6640625" bestFit="1" customWidth="1"/>
    <col min="49" max="49" width="30.1640625" bestFit="1" customWidth="1"/>
    <col min="50" max="51" width="24.6640625" bestFit="1" customWidth="1"/>
    <col min="52" max="52" width="31.33203125" bestFit="1" customWidth="1"/>
    <col min="53" max="53" width="32.83203125" bestFit="1" customWidth="1"/>
    <col min="54" max="54" width="43.33203125" bestFit="1" customWidth="1"/>
    <col min="55" max="55" width="30.1640625" bestFit="1" customWidth="1"/>
    <col min="56" max="56" width="36.33203125" bestFit="1" customWidth="1"/>
    <col min="57" max="57" width="17.5" bestFit="1" customWidth="1"/>
    <col min="58" max="58" width="33.6640625" bestFit="1" customWidth="1"/>
    <col min="59" max="59" width="41.33203125" bestFit="1" customWidth="1"/>
    <col min="60" max="60" width="6.83203125" bestFit="1" customWidth="1"/>
    <col min="61" max="61" width="28.6640625" bestFit="1" customWidth="1"/>
    <col min="62" max="62" width="29.1640625" bestFit="1" customWidth="1"/>
    <col min="63" max="63" width="28" bestFit="1" customWidth="1"/>
    <col min="64" max="64" width="28.6640625" bestFit="1" customWidth="1"/>
    <col min="65" max="65" width="38" bestFit="1" customWidth="1"/>
    <col min="66" max="66" width="35" bestFit="1" customWidth="1"/>
    <col min="67" max="67" width="14.6640625" bestFit="1" customWidth="1"/>
  </cols>
  <sheetData>
    <row r="1" spans="1:67" x14ac:dyDescent="0.2">
      <c r="A1" s="17" t="s">
        <v>0</v>
      </c>
      <c r="B1" s="1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7" t="s">
        <v>2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9"/>
    </row>
    <row r="2" spans="1:67" x14ac:dyDescent="0.2">
      <c r="A2" s="17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7" t="s">
        <v>3</v>
      </c>
      <c r="O2" s="28"/>
      <c r="P2" s="29"/>
      <c r="Q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9"/>
      <c r="BO2" s="1" t="s">
        <v>4</v>
      </c>
    </row>
    <row r="3" spans="1:67" x14ac:dyDescent="0.2">
      <c r="A3" s="17"/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6"/>
      <c r="N3" s="27" t="s">
        <v>5</v>
      </c>
      <c r="O3" s="28"/>
      <c r="P3" s="29"/>
      <c r="Q3" s="2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9"/>
      <c r="BO3" s="1" t="s">
        <v>6</v>
      </c>
    </row>
    <row r="4" spans="1:67" x14ac:dyDescent="0.2">
      <c r="A4" s="30" t="s">
        <v>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2"/>
    </row>
    <row r="5" spans="1:67" ht="18.75" x14ac:dyDescent="0.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3</v>
      </c>
      <c r="L6" s="3"/>
      <c r="M6" s="3" t="s">
        <v>10</v>
      </c>
      <c r="N6" s="34">
        <v>2026</v>
      </c>
      <c r="O6" s="3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5" t="s">
        <v>11</v>
      </c>
      <c r="B8" s="37" t="s">
        <v>12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0" t="s">
        <v>13</v>
      </c>
    </row>
    <row r="9" spans="1:67" x14ac:dyDescent="0.2">
      <c r="A9" s="35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41"/>
    </row>
    <row r="10" spans="1:67" ht="15" x14ac:dyDescent="0.25">
      <c r="A10" s="35"/>
      <c r="B10" s="6" t="s">
        <v>79</v>
      </c>
      <c r="C10" s="7" t="s">
        <v>80</v>
      </c>
      <c r="D10" s="7" t="s">
        <v>81</v>
      </c>
      <c r="E10" s="8" t="s">
        <v>82</v>
      </c>
      <c r="F10" s="8" t="s">
        <v>83</v>
      </c>
      <c r="G10" s="8" t="s">
        <v>84</v>
      </c>
      <c r="H10" s="8" t="s">
        <v>85</v>
      </c>
      <c r="I10" s="7" t="s">
        <v>86</v>
      </c>
      <c r="J10" s="8" t="s">
        <v>87</v>
      </c>
      <c r="K10" s="8" t="s">
        <v>88</v>
      </c>
      <c r="L10" s="8" t="s">
        <v>89</v>
      </c>
      <c r="M10" s="8" t="s">
        <v>90</v>
      </c>
      <c r="N10" s="8" t="s">
        <v>91</v>
      </c>
      <c r="O10" s="8" t="s">
        <v>92</v>
      </c>
      <c r="P10" s="8" t="s">
        <v>93</v>
      </c>
      <c r="Q10" s="8" t="s">
        <v>94</v>
      </c>
      <c r="R10" s="8" t="s">
        <v>95</v>
      </c>
      <c r="S10" s="9" t="s">
        <v>96</v>
      </c>
      <c r="T10" s="8" t="s">
        <v>97</v>
      </c>
      <c r="U10" s="8" t="s">
        <v>98</v>
      </c>
      <c r="V10" s="8" t="s">
        <v>99</v>
      </c>
      <c r="W10" s="8" t="s">
        <v>100</v>
      </c>
      <c r="X10" s="8" t="s">
        <v>101</v>
      </c>
      <c r="Y10" s="8" t="s">
        <v>102</v>
      </c>
      <c r="Z10" s="8" t="s">
        <v>103</v>
      </c>
      <c r="AA10" s="8" t="s">
        <v>104</v>
      </c>
      <c r="AB10" s="8" t="s">
        <v>105</v>
      </c>
      <c r="AC10" s="8" t="s">
        <v>106</v>
      </c>
      <c r="AD10" s="8" t="s">
        <v>107</v>
      </c>
      <c r="AE10" s="8" t="s">
        <v>108</v>
      </c>
      <c r="AF10" s="8" t="s">
        <v>109</v>
      </c>
      <c r="AG10" s="8" t="s">
        <v>110</v>
      </c>
      <c r="AH10" s="8" t="s">
        <v>111</v>
      </c>
      <c r="AI10" s="8" t="s">
        <v>112</v>
      </c>
      <c r="AJ10" s="8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8" t="s">
        <v>123</v>
      </c>
      <c r="AU10" s="8" t="s">
        <v>124</v>
      </c>
      <c r="AV10" s="8" t="s">
        <v>125</v>
      </c>
      <c r="AW10" s="8" t="s">
        <v>126</v>
      </c>
      <c r="AX10" s="8" t="s">
        <v>127</v>
      </c>
      <c r="AY10" s="8" t="s">
        <v>128</v>
      </c>
      <c r="AZ10" s="7" t="s">
        <v>129</v>
      </c>
      <c r="BA10" s="7" t="s">
        <v>130</v>
      </c>
      <c r="BB10" s="7" t="s">
        <v>131</v>
      </c>
      <c r="BC10" s="7" t="s">
        <v>132</v>
      </c>
      <c r="BD10" s="7" t="s">
        <v>133</v>
      </c>
      <c r="BE10" s="7" t="s">
        <v>134</v>
      </c>
      <c r="BF10" s="7" t="s">
        <v>135</v>
      </c>
      <c r="BG10" s="7" t="s">
        <v>136</v>
      </c>
      <c r="BH10" s="8"/>
      <c r="BI10" s="8" t="s">
        <v>137</v>
      </c>
      <c r="BJ10" s="8" t="s">
        <v>138</v>
      </c>
      <c r="BK10" s="8" t="s">
        <v>139</v>
      </c>
      <c r="BL10" s="8" t="s">
        <v>140</v>
      </c>
      <c r="BM10" s="8" t="s">
        <v>141</v>
      </c>
      <c r="BN10" s="8" t="s">
        <v>142</v>
      </c>
      <c r="BO10" s="41"/>
    </row>
    <row r="11" spans="1:67" x14ac:dyDescent="0.2">
      <c r="A11" s="36"/>
      <c r="B11" s="6" t="s">
        <v>143</v>
      </c>
      <c r="C11" s="10" t="s">
        <v>144</v>
      </c>
      <c r="D11" s="10" t="s">
        <v>145</v>
      </c>
      <c r="E11" s="10" t="s">
        <v>146</v>
      </c>
      <c r="F11" s="10" t="s">
        <v>147</v>
      </c>
      <c r="G11" s="10" t="s">
        <v>148</v>
      </c>
      <c r="H11" s="10" t="s">
        <v>149</v>
      </c>
      <c r="I11" s="10" t="s">
        <v>150</v>
      </c>
      <c r="J11" s="10" t="s">
        <v>151</v>
      </c>
      <c r="K11" s="10" t="s">
        <v>152</v>
      </c>
      <c r="L11" s="10" t="s">
        <v>153</v>
      </c>
      <c r="M11" s="10" t="s">
        <v>154</v>
      </c>
      <c r="N11" s="10" t="s">
        <v>155</v>
      </c>
      <c r="O11" s="10" t="s">
        <v>156</v>
      </c>
      <c r="P11" s="10" t="s">
        <v>157</v>
      </c>
      <c r="Q11" s="10" t="s">
        <v>158</v>
      </c>
      <c r="R11" s="10" t="s">
        <v>159</v>
      </c>
      <c r="S11" s="10" t="s">
        <v>160</v>
      </c>
      <c r="T11" s="10" t="s">
        <v>161</v>
      </c>
      <c r="U11" s="10" t="s">
        <v>162</v>
      </c>
      <c r="V11" s="10" t="s">
        <v>163</v>
      </c>
      <c r="W11" s="10" t="s">
        <v>164</v>
      </c>
      <c r="X11" s="10" t="s">
        <v>165</v>
      </c>
      <c r="Y11" s="10" t="s">
        <v>166</v>
      </c>
      <c r="Z11" s="10" t="s">
        <v>167</v>
      </c>
      <c r="AA11" s="10" t="s">
        <v>168</v>
      </c>
      <c r="AB11" s="10" t="s">
        <v>169</v>
      </c>
      <c r="AC11" s="10" t="s">
        <v>170</v>
      </c>
      <c r="AD11" s="10" t="s">
        <v>171</v>
      </c>
      <c r="AE11" s="10" t="s">
        <v>172</v>
      </c>
      <c r="AF11" s="10" t="s">
        <v>173</v>
      </c>
      <c r="AG11" s="10" t="s">
        <v>174</v>
      </c>
      <c r="AH11" s="10" t="s">
        <v>175</v>
      </c>
      <c r="AI11" s="10" t="s">
        <v>176</v>
      </c>
      <c r="AJ11" s="10" t="s">
        <v>177</v>
      </c>
      <c r="AK11" s="10" t="s">
        <v>178</v>
      </c>
      <c r="AL11" s="10" t="s">
        <v>179</v>
      </c>
      <c r="AM11" s="10" t="s">
        <v>180</v>
      </c>
      <c r="AN11" s="10" t="s">
        <v>181</v>
      </c>
      <c r="AO11" s="10" t="s">
        <v>182</v>
      </c>
      <c r="AP11" s="10" t="s">
        <v>183</v>
      </c>
      <c r="AQ11" s="10" t="s">
        <v>184</v>
      </c>
      <c r="AR11" s="10" t="s">
        <v>185</v>
      </c>
      <c r="AS11" s="10" t="s">
        <v>186</v>
      </c>
      <c r="AT11" s="10" t="s">
        <v>187</v>
      </c>
      <c r="AU11" s="10" t="s">
        <v>188</v>
      </c>
      <c r="AV11" s="10" t="s">
        <v>189</v>
      </c>
      <c r="AW11" s="10" t="s">
        <v>190</v>
      </c>
      <c r="AX11" s="10" t="s">
        <v>191</v>
      </c>
      <c r="AY11" s="10" t="s">
        <v>192</v>
      </c>
      <c r="AZ11" s="10" t="s">
        <v>193</v>
      </c>
      <c r="BA11" s="10" t="s">
        <v>194</v>
      </c>
      <c r="BB11" s="10" t="s">
        <v>195</v>
      </c>
      <c r="BC11" s="10" t="s">
        <v>196</v>
      </c>
      <c r="BD11" s="10" t="s">
        <v>197</v>
      </c>
      <c r="BE11" s="10" t="s">
        <v>198</v>
      </c>
      <c r="BF11" s="10" t="s">
        <v>199</v>
      </c>
      <c r="BG11" s="10" t="s">
        <v>200</v>
      </c>
      <c r="BH11" s="10"/>
      <c r="BI11" s="10" t="s">
        <v>201</v>
      </c>
      <c r="BJ11" s="10" t="s">
        <v>202</v>
      </c>
      <c r="BK11" s="10" t="s">
        <v>203</v>
      </c>
      <c r="BL11" s="10" t="s">
        <v>204</v>
      </c>
      <c r="BM11" s="10" t="s">
        <v>205</v>
      </c>
      <c r="BN11" s="11" t="s">
        <v>206</v>
      </c>
      <c r="BO11" s="42"/>
    </row>
    <row r="12" spans="1:67" ht="15.75" x14ac:dyDescent="0.2">
      <c r="A12" s="43">
        <f>DATE(N6,K6,1)</f>
        <v>46082</v>
      </c>
      <c r="B12" s="4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3"/>
    </row>
    <row r="13" spans="1:67" ht="15.75" x14ac:dyDescent="0.2">
      <c r="A13" s="43">
        <f>A12+1</f>
        <v>46083</v>
      </c>
      <c r="B13" s="4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spans="1:67" ht="15.75" x14ac:dyDescent="0.2">
      <c r="A14" s="43">
        <f t="shared" ref="A14:A39" si="0">A13+1</f>
        <v>46084</v>
      </c>
      <c r="B14" s="4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15.75" x14ac:dyDescent="0.2">
      <c r="A15" s="43">
        <f t="shared" si="0"/>
        <v>46085</v>
      </c>
      <c r="B15" s="4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spans="1:67" ht="15.75" x14ac:dyDescent="0.2">
      <c r="A16" s="43">
        <f t="shared" si="0"/>
        <v>46086</v>
      </c>
      <c r="B16" s="4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67" ht="15.75" x14ac:dyDescent="0.2">
      <c r="A17" s="43">
        <f t="shared" si="0"/>
        <v>46087</v>
      </c>
      <c r="B17" s="4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spans="1:67" ht="15.75" x14ac:dyDescent="0.2">
      <c r="A18" s="43">
        <f t="shared" si="0"/>
        <v>46088</v>
      </c>
      <c r="B18" s="4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spans="1:67" ht="15.75" x14ac:dyDescent="0.2">
      <c r="A19" s="43">
        <f t="shared" si="0"/>
        <v>46089</v>
      </c>
      <c r="B19" s="4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spans="1:67" ht="15.75" x14ac:dyDescent="0.2">
      <c r="A20" s="43">
        <f t="shared" si="0"/>
        <v>46090</v>
      </c>
      <c r="B20" s="4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spans="1:67" ht="15.75" x14ac:dyDescent="0.2">
      <c r="A21" s="43">
        <f t="shared" si="0"/>
        <v>46091</v>
      </c>
      <c r="B21" s="4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spans="1:67" ht="15.75" x14ac:dyDescent="0.2">
      <c r="A22" s="43">
        <f t="shared" si="0"/>
        <v>46092</v>
      </c>
      <c r="B22" s="4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spans="1:67" ht="15.75" x14ac:dyDescent="0.2">
      <c r="A23" s="43">
        <f t="shared" si="0"/>
        <v>46093</v>
      </c>
      <c r="B23" s="4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spans="1:67" ht="15.75" x14ac:dyDescent="0.2">
      <c r="A24" s="43">
        <f t="shared" si="0"/>
        <v>46094</v>
      </c>
      <c r="B24" s="4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spans="1:67" ht="15.75" x14ac:dyDescent="0.2">
      <c r="A25" s="43">
        <f t="shared" si="0"/>
        <v>46095</v>
      </c>
      <c r="B25" s="4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spans="1:67" ht="15.75" x14ac:dyDescent="0.2">
      <c r="A26" s="43">
        <f t="shared" si="0"/>
        <v>46096</v>
      </c>
      <c r="B26" s="4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spans="1:67" ht="15.75" x14ac:dyDescent="0.2">
      <c r="A27" s="43">
        <f t="shared" si="0"/>
        <v>46097</v>
      </c>
      <c r="B27" s="4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spans="1:67" ht="15.75" x14ac:dyDescent="0.2">
      <c r="A28" s="43">
        <f t="shared" si="0"/>
        <v>46098</v>
      </c>
      <c r="B28" s="4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spans="1:67" ht="15.75" x14ac:dyDescent="0.2">
      <c r="A29" s="43">
        <f t="shared" si="0"/>
        <v>46099</v>
      </c>
      <c r="B29" s="4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spans="1:67" ht="15.75" x14ac:dyDescent="0.2">
      <c r="A30" s="43">
        <f t="shared" si="0"/>
        <v>46100</v>
      </c>
      <c r="B30" s="4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spans="1:67" ht="15.75" x14ac:dyDescent="0.2">
      <c r="A31" s="43">
        <f t="shared" si="0"/>
        <v>46101</v>
      </c>
      <c r="B31" s="4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spans="1:67" ht="15.75" x14ac:dyDescent="0.2">
      <c r="A32" s="43">
        <f t="shared" si="0"/>
        <v>46102</v>
      </c>
      <c r="B32" s="4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spans="1:67" ht="15.75" x14ac:dyDescent="0.2">
      <c r="A33" s="43">
        <f t="shared" si="0"/>
        <v>46103</v>
      </c>
      <c r="B33" s="4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spans="1:67" ht="15.75" x14ac:dyDescent="0.2">
      <c r="A34" s="43">
        <f>A33+1</f>
        <v>46104</v>
      </c>
      <c r="B34" s="4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spans="1:67" ht="15.75" x14ac:dyDescent="0.2">
      <c r="A35" s="43">
        <f t="shared" si="0"/>
        <v>46105</v>
      </c>
      <c r="B35" s="4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spans="1:67" ht="15.75" x14ac:dyDescent="0.2">
      <c r="A36" s="43">
        <f t="shared" si="0"/>
        <v>46106</v>
      </c>
      <c r="B36" s="4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spans="1:67" ht="15.75" x14ac:dyDescent="0.2">
      <c r="A37" s="43">
        <f t="shared" si="0"/>
        <v>46107</v>
      </c>
      <c r="B37" s="4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spans="1:67" ht="15.75" x14ac:dyDescent="0.2">
      <c r="A38" s="43">
        <f t="shared" si="0"/>
        <v>46108</v>
      </c>
      <c r="B38" s="4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spans="1:67" ht="15.75" x14ac:dyDescent="0.2">
      <c r="A39" s="43">
        <f t="shared" si="0"/>
        <v>46109</v>
      </c>
      <c r="B39" s="4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spans="1:67" ht="15.75" x14ac:dyDescent="0.2">
      <c r="A40" s="43">
        <f>IF(A39="","",IF(A39=EOMONTH(DATE($N$6,$K$6,1),0),"",A39+1))</f>
        <v>46110</v>
      </c>
      <c r="B40" s="4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spans="1:67" ht="15.75" x14ac:dyDescent="0.2">
      <c r="A41" s="43">
        <f>IF(A40="","",IF(A40=EOMONTH(DATE($N$6,$K$6,1),0),"",A40+1))</f>
        <v>46111</v>
      </c>
      <c r="B41" s="4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spans="1:67" ht="15.75" x14ac:dyDescent="0.2">
      <c r="A42" s="43">
        <f>IF(A41="","",IF(A41=EOMONTH(DATE($N$6,$K$6,1),0),"",A41+1))</f>
        <v>46112</v>
      </c>
      <c r="B42" s="4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spans="1:67" ht="13.5" x14ac:dyDescent="0.25">
      <c r="A43" s="14" t="s">
        <v>207</v>
      </c>
      <c r="B43" s="45" t="s">
        <v>208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</row>
    <row r="44" spans="1:67" x14ac:dyDescent="0.2">
      <c r="A44" s="16"/>
      <c r="B44" s="15" t="s">
        <v>209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 t="s">
        <v>210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tabSelected="1" zoomScale="70" zoomScaleNormal="70" workbookViewId="0">
      <selection activeCell="BN34" sqref="BN34"/>
    </sheetView>
  </sheetViews>
  <sheetFormatPr defaultRowHeight="12.75" x14ac:dyDescent="0.2"/>
  <cols>
    <col min="1" max="2" width="23.5" bestFit="1" customWidth="1"/>
    <col min="3" max="3" width="35.6640625" bestFit="1" customWidth="1"/>
    <col min="4" max="4" width="36.33203125" bestFit="1" customWidth="1"/>
    <col min="5" max="5" width="31.6640625" bestFit="1" customWidth="1"/>
    <col min="6" max="6" width="31.83203125" bestFit="1" customWidth="1"/>
    <col min="7" max="7" width="25.83203125" bestFit="1" customWidth="1"/>
    <col min="8" max="8" width="27.5" bestFit="1" customWidth="1"/>
    <col min="9" max="9" width="25.33203125" bestFit="1" customWidth="1"/>
    <col min="10" max="10" width="22.83203125" bestFit="1" customWidth="1"/>
    <col min="11" max="11" width="35.33203125" bestFit="1" customWidth="1"/>
    <col min="12" max="12" width="22.83203125" bestFit="1" customWidth="1"/>
    <col min="13" max="13" width="30.1640625" bestFit="1" customWidth="1"/>
    <col min="14" max="14" width="38.5" bestFit="1" customWidth="1"/>
    <col min="15" max="15" width="41.6640625" bestFit="1" customWidth="1"/>
    <col min="16" max="16" width="28.33203125" bestFit="1" customWidth="1"/>
    <col min="17" max="17" width="40.1640625" bestFit="1" customWidth="1"/>
    <col min="18" max="18" width="31.33203125" bestFit="1" customWidth="1"/>
    <col min="19" max="19" width="40.6640625" bestFit="1" customWidth="1"/>
    <col min="20" max="20" width="36.33203125" bestFit="1" customWidth="1"/>
    <col min="21" max="21" width="39.6640625" bestFit="1" customWidth="1"/>
    <col min="22" max="22" width="43.33203125" bestFit="1" customWidth="1"/>
    <col min="23" max="23" width="31.33203125" bestFit="1" customWidth="1"/>
    <col min="24" max="24" width="30.1640625" bestFit="1" customWidth="1"/>
    <col min="25" max="25" width="32.83203125" bestFit="1" customWidth="1"/>
    <col min="26" max="26" width="37" bestFit="1" customWidth="1"/>
    <col min="27" max="27" width="28.5" bestFit="1" customWidth="1"/>
    <col min="28" max="28" width="42.33203125" bestFit="1" customWidth="1"/>
    <col min="29" max="29" width="40.1640625" bestFit="1" customWidth="1"/>
    <col min="30" max="30" width="32.83203125" bestFit="1" customWidth="1"/>
    <col min="31" max="31" width="44" bestFit="1" customWidth="1"/>
    <col min="32" max="32" width="40.83203125" bestFit="1" customWidth="1"/>
    <col min="33" max="33" width="23" bestFit="1" customWidth="1"/>
    <col min="34" max="34" width="29.1640625" bestFit="1" customWidth="1"/>
    <col min="35" max="35" width="36.83203125" bestFit="1" customWidth="1"/>
    <col min="36" max="36" width="42.5" bestFit="1" customWidth="1"/>
    <col min="37" max="37" width="40.6640625" bestFit="1" customWidth="1"/>
    <col min="38" max="38" width="37.5" bestFit="1" customWidth="1"/>
    <col min="39" max="39" width="32.5" bestFit="1" customWidth="1"/>
    <col min="40" max="40" width="30.6640625" bestFit="1" customWidth="1"/>
    <col min="41" max="41" width="25.1640625" bestFit="1" customWidth="1"/>
    <col min="42" max="42" width="30" bestFit="1" customWidth="1"/>
    <col min="43" max="43" width="30.1640625" bestFit="1" customWidth="1"/>
    <col min="44" max="44" width="27.33203125" bestFit="1" customWidth="1"/>
    <col min="45" max="45" width="29" bestFit="1" customWidth="1"/>
    <col min="46" max="46" width="44.6640625" bestFit="1" customWidth="1"/>
    <col min="47" max="47" width="45.83203125" bestFit="1" customWidth="1"/>
    <col min="48" max="48" width="29.6640625" bestFit="1" customWidth="1"/>
    <col min="49" max="49" width="30.1640625" bestFit="1" customWidth="1"/>
    <col min="50" max="51" width="24.6640625" bestFit="1" customWidth="1"/>
    <col min="52" max="52" width="31.33203125" bestFit="1" customWidth="1"/>
    <col min="53" max="53" width="32.83203125" bestFit="1" customWidth="1"/>
    <col min="54" max="54" width="43.33203125" bestFit="1" customWidth="1"/>
    <col min="55" max="55" width="30.1640625" bestFit="1" customWidth="1"/>
    <col min="56" max="56" width="36.33203125" bestFit="1" customWidth="1"/>
    <col min="57" max="57" width="17.5" bestFit="1" customWidth="1"/>
    <col min="58" max="58" width="33.6640625" bestFit="1" customWidth="1"/>
    <col min="59" max="59" width="41.33203125" bestFit="1" customWidth="1"/>
    <col min="60" max="60" width="6.83203125" bestFit="1" customWidth="1"/>
    <col min="61" max="61" width="28.6640625" bestFit="1" customWidth="1"/>
    <col min="62" max="62" width="29.1640625" bestFit="1" customWidth="1"/>
    <col min="63" max="63" width="28" bestFit="1" customWidth="1"/>
    <col min="64" max="64" width="28.6640625" bestFit="1" customWidth="1"/>
    <col min="65" max="65" width="38" bestFit="1" customWidth="1"/>
    <col min="66" max="66" width="35" bestFit="1" customWidth="1"/>
    <col min="67" max="67" width="14.6640625" bestFit="1" customWidth="1"/>
  </cols>
  <sheetData>
    <row r="1" spans="1:67" x14ac:dyDescent="0.2">
      <c r="A1" s="17" t="s">
        <v>0</v>
      </c>
      <c r="B1" s="1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7" t="s">
        <v>2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9"/>
    </row>
    <row r="2" spans="1:67" x14ac:dyDescent="0.2">
      <c r="A2" s="17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7" t="s">
        <v>3</v>
      </c>
      <c r="O2" s="28"/>
      <c r="P2" s="29"/>
      <c r="Q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9"/>
      <c r="BO2" s="1" t="s">
        <v>4</v>
      </c>
    </row>
    <row r="3" spans="1:67" x14ac:dyDescent="0.2">
      <c r="A3" s="17"/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6"/>
      <c r="N3" s="27" t="s">
        <v>5</v>
      </c>
      <c r="O3" s="28"/>
      <c r="P3" s="29"/>
      <c r="Q3" s="2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9"/>
      <c r="BO3" s="1" t="s">
        <v>6</v>
      </c>
    </row>
    <row r="4" spans="1:67" x14ac:dyDescent="0.2">
      <c r="A4" s="30" t="s">
        <v>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2"/>
    </row>
    <row r="5" spans="1:67" ht="18.75" x14ac:dyDescent="0.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4</v>
      </c>
      <c r="L6" s="3"/>
      <c r="M6" s="3" t="s">
        <v>10</v>
      </c>
      <c r="N6" s="34">
        <v>2026</v>
      </c>
      <c r="O6" s="3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5" t="s">
        <v>11</v>
      </c>
      <c r="B8" s="37" t="s">
        <v>12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0" t="s">
        <v>13</v>
      </c>
    </row>
    <row r="9" spans="1:67" x14ac:dyDescent="0.2">
      <c r="A9" s="35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41"/>
    </row>
    <row r="10" spans="1:67" ht="15" x14ac:dyDescent="0.25">
      <c r="A10" s="35"/>
      <c r="B10" s="6" t="s">
        <v>79</v>
      </c>
      <c r="C10" s="7" t="s">
        <v>80</v>
      </c>
      <c r="D10" s="7" t="s">
        <v>81</v>
      </c>
      <c r="E10" s="8" t="s">
        <v>82</v>
      </c>
      <c r="F10" s="8" t="s">
        <v>83</v>
      </c>
      <c r="G10" s="8" t="s">
        <v>84</v>
      </c>
      <c r="H10" s="8" t="s">
        <v>85</v>
      </c>
      <c r="I10" s="7" t="s">
        <v>86</v>
      </c>
      <c r="J10" s="8" t="s">
        <v>87</v>
      </c>
      <c r="K10" s="8" t="s">
        <v>88</v>
      </c>
      <c r="L10" s="8" t="s">
        <v>89</v>
      </c>
      <c r="M10" s="8" t="s">
        <v>90</v>
      </c>
      <c r="N10" s="8" t="s">
        <v>91</v>
      </c>
      <c r="O10" s="8" t="s">
        <v>92</v>
      </c>
      <c r="P10" s="8" t="s">
        <v>93</v>
      </c>
      <c r="Q10" s="8" t="s">
        <v>94</v>
      </c>
      <c r="R10" s="8" t="s">
        <v>95</v>
      </c>
      <c r="S10" s="9" t="s">
        <v>96</v>
      </c>
      <c r="T10" s="8" t="s">
        <v>97</v>
      </c>
      <c r="U10" s="8" t="s">
        <v>98</v>
      </c>
      <c r="V10" s="8" t="s">
        <v>99</v>
      </c>
      <c r="W10" s="8" t="s">
        <v>100</v>
      </c>
      <c r="X10" s="8" t="s">
        <v>101</v>
      </c>
      <c r="Y10" s="8" t="s">
        <v>102</v>
      </c>
      <c r="Z10" s="8" t="s">
        <v>103</v>
      </c>
      <c r="AA10" s="8" t="s">
        <v>104</v>
      </c>
      <c r="AB10" s="8" t="s">
        <v>105</v>
      </c>
      <c r="AC10" s="8" t="s">
        <v>106</v>
      </c>
      <c r="AD10" s="8" t="s">
        <v>107</v>
      </c>
      <c r="AE10" s="8" t="s">
        <v>108</v>
      </c>
      <c r="AF10" s="8" t="s">
        <v>109</v>
      </c>
      <c r="AG10" s="8" t="s">
        <v>110</v>
      </c>
      <c r="AH10" s="8" t="s">
        <v>111</v>
      </c>
      <c r="AI10" s="8" t="s">
        <v>112</v>
      </c>
      <c r="AJ10" s="8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8" t="s">
        <v>123</v>
      </c>
      <c r="AU10" s="8" t="s">
        <v>124</v>
      </c>
      <c r="AV10" s="8" t="s">
        <v>125</v>
      </c>
      <c r="AW10" s="8" t="s">
        <v>126</v>
      </c>
      <c r="AX10" s="8" t="s">
        <v>127</v>
      </c>
      <c r="AY10" s="8" t="s">
        <v>128</v>
      </c>
      <c r="AZ10" s="7" t="s">
        <v>129</v>
      </c>
      <c r="BA10" s="7" t="s">
        <v>130</v>
      </c>
      <c r="BB10" s="7" t="s">
        <v>131</v>
      </c>
      <c r="BC10" s="7" t="s">
        <v>132</v>
      </c>
      <c r="BD10" s="7" t="s">
        <v>133</v>
      </c>
      <c r="BE10" s="7" t="s">
        <v>134</v>
      </c>
      <c r="BF10" s="7" t="s">
        <v>135</v>
      </c>
      <c r="BG10" s="7" t="s">
        <v>136</v>
      </c>
      <c r="BH10" s="8"/>
      <c r="BI10" s="8" t="s">
        <v>137</v>
      </c>
      <c r="BJ10" s="8" t="s">
        <v>138</v>
      </c>
      <c r="BK10" s="8" t="s">
        <v>139</v>
      </c>
      <c r="BL10" s="8" t="s">
        <v>140</v>
      </c>
      <c r="BM10" s="8" t="s">
        <v>141</v>
      </c>
      <c r="BN10" s="8" t="s">
        <v>142</v>
      </c>
      <c r="BO10" s="41"/>
    </row>
    <row r="11" spans="1:67" x14ac:dyDescent="0.2">
      <c r="A11" s="36"/>
      <c r="B11" s="6" t="s">
        <v>143</v>
      </c>
      <c r="C11" s="10" t="s">
        <v>144</v>
      </c>
      <c r="D11" s="10" t="s">
        <v>145</v>
      </c>
      <c r="E11" s="10" t="s">
        <v>146</v>
      </c>
      <c r="F11" s="10" t="s">
        <v>147</v>
      </c>
      <c r="G11" s="10" t="s">
        <v>148</v>
      </c>
      <c r="H11" s="10" t="s">
        <v>149</v>
      </c>
      <c r="I11" s="10" t="s">
        <v>150</v>
      </c>
      <c r="J11" s="10" t="s">
        <v>151</v>
      </c>
      <c r="K11" s="10" t="s">
        <v>152</v>
      </c>
      <c r="L11" s="10" t="s">
        <v>153</v>
      </c>
      <c r="M11" s="10" t="s">
        <v>154</v>
      </c>
      <c r="N11" s="10" t="s">
        <v>155</v>
      </c>
      <c r="O11" s="10" t="s">
        <v>156</v>
      </c>
      <c r="P11" s="10" t="s">
        <v>157</v>
      </c>
      <c r="Q11" s="10" t="s">
        <v>158</v>
      </c>
      <c r="R11" s="10" t="s">
        <v>159</v>
      </c>
      <c r="S11" s="10" t="s">
        <v>160</v>
      </c>
      <c r="T11" s="10" t="s">
        <v>161</v>
      </c>
      <c r="U11" s="10" t="s">
        <v>162</v>
      </c>
      <c r="V11" s="10" t="s">
        <v>163</v>
      </c>
      <c r="W11" s="10" t="s">
        <v>164</v>
      </c>
      <c r="X11" s="10" t="s">
        <v>165</v>
      </c>
      <c r="Y11" s="10" t="s">
        <v>166</v>
      </c>
      <c r="Z11" s="10" t="s">
        <v>167</v>
      </c>
      <c r="AA11" s="10" t="s">
        <v>168</v>
      </c>
      <c r="AB11" s="10" t="s">
        <v>169</v>
      </c>
      <c r="AC11" s="10" t="s">
        <v>170</v>
      </c>
      <c r="AD11" s="10" t="s">
        <v>171</v>
      </c>
      <c r="AE11" s="10" t="s">
        <v>172</v>
      </c>
      <c r="AF11" s="10" t="s">
        <v>173</v>
      </c>
      <c r="AG11" s="10" t="s">
        <v>174</v>
      </c>
      <c r="AH11" s="10" t="s">
        <v>175</v>
      </c>
      <c r="AI11" s="10" t="s">
        <v>176</v>
      </c>
      <c r="AJ11" s="10" t="s">
        <v>177</v>
      </c>
      <c r="AK11" s="10" t="s">
        <v>178</v>
      </c>
      <c r="AL11" s="10" t="s">
        <v>179</v>
      </c>
      <c r="AM11" s="10" t="s">
        <v>180</v>
      </c>
      <c r="AN11" s="10" t="s">
        <v>181</v>
      </c>
      <c r="AO11" s="10" t="s">
        <v>182</v>
      </c>
      <c r="AP11" s="10" t="s">
        <v>183</v>
      </c>
      <c r="AQ11" s="10" t="s">
        <v>184</v>
      </c>
      <c r="AR11" s="10" t="s">
        <v>185</v>
      </c>
      <c r="AS11" s="10" t="s">
        <v>186</v>
      </c>
      <c r="AT11" s="10" t="s">
        <v>187</v>
      </c>
      <c r="AU11" s="10" t="s">
        <v>188</v>
      </c>
      <c r="AV11" s="10" t="s">
        <v>189</v>
      </c>
      <c r="AW11" s="10" t="s">
        <v>190</v>
      </c>
      <c r="AX11" s="10" t="s">
        <v>191</v>
      </c>
      <c r="AY11" s="10" t="s">
        <v>192</v>
      </c>
      <c r="AZ11" s="10" t="s">
        <v>193</v>
      </c>
      <c r="BA11" s="10" t="s">
        <v>194</v>
      </c>
      <c r="BB11" s="10" t="s">
        <v>195</v>
      </c>
      <c r="BC11" s="10" t="s">
        <v>196</v>
      </c>
      <c r="BD11" s="10" t="s">
        <v>197</v>
      </c>
      <c r="BE11" s="10" t="s">
        <v>198</v>
      </c>
      <c r="BF11" s="10" t="s">
        <v>199</v>
      </c>
      <c r="BG11" s="10" t="s">
        <v>200</v>
      </c>
      <c r="BH11" s="10"/>
      <c r="BI11" s="10" t="s">
        <v>201</v>
      </c>
      <c r="BJ11" s="10" t="s">
        <v>202</v>
      </c>
      <c r="BK11" s="10" t="s">
        <v>203</v>
      </c>
      <c r="BL11" s="10" t="s">
        <v>204</v>
      </c>
      <c r="BM11" s="10" t="s">
        <v>205</v>
      </c>
      <c r="BN11" s="11" t="s">
        <v>206</v>
      </c>
      <c r="BO11" s="42"/>
    </row>
    <row r="12" spans="1:67" ht="15.75" x14ac:dyDescent="0.2">
      <c r="A12" s="43">
        <f>DATE(N6,K6,1)</f>
        <v>46113</v>
      </c>
      <c r="B12" s="4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3"/>
    </row>
    <row r="13" spans="1:67" ht="15.75" x14ac:dyDescent="0.2">
      <c r="A13" s="43">
        <f>A12+1</f>
        <v>46114</v>
      </c>
      <c r="B13" s="4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spans="1:67" ht="15.75" x14ac:dyDescent="0.2">
      <c r="A14" s="43">
        <f t="shared" ref="A14:A39" si="0">A13+1</f>
        <v>46115</v>
      </c>
      <c r="B14" s="4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15.75" x14ac:dyDescent="0.2">
      <c r="A15" s="43">
        <f t="shared" si="0"/>
        <v>46116</v>
      </c>
      <c r="B15" s="4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 t="s">
        <v>211</v>
      </c>
      <c r="AK15" s="13"/>
      <c r="AL15" s="13"/>
      <c r="AM15" s="13"/>
      <c r="AN15" s="13"/>
      <c r="AO15" s="13" t="s">
        <v>211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 t="s">
        <v>212</v>
      </c>
    </row>
    <row r="16" spans="1:67" ht="15.75" x14ac:dyDescent="0.2">
      <c r="A16" s="43">
        <f t="shared" si="0"/>
        <v>46117</v>
      </c>
      <c r="B16" s="4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67" ht="15.75" x14ac:dyDescent="0.2">
      <c r="A17" s="43">
        <f t="shared" si="0"/>
        <v>46118</v>
      </c>
      <c r="B17" s="4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spans="1:67" ht="15.75" x14ac:dyDescent="0.2">
      <c r="A18" s="43">
        <f t="shared" si="0"/>
        <v>46119</v>
      </c>
      <c r="B18" s="4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spans="1:67" ht="15.75" x14ac:dyDescent="0.2">
      <c r="A19" s="43">
        <f t="shared" si="0"/>
        <v>46120</v>
      </c>
      <c r="B19" s="4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spans="1:67" ht="15.75" x14ac:dyDescent="0.2">
      <c r="A20" s="43">
        <f t="shared" si="0"/>
        <v>46121</v>
      </c>
      <c r="B20" s="4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spans="1:67" ht="15.75" x14ac:dyDescent="0.2">
      <c r="A21" s="43">
        <f t="shared" si="0"/>
        <v>46122</v>
      </c>
      <c r="B21" s="4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spans="1:67" ht="15.75" x14ac:dyDescent="0.2">
      <c r="A22" s="43">
        <f t="shared" si="0"/>
        <v>46123</v>
      </c>
      <c r="B22" s="4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spans="1:67" ht="15.75" x14ac:dyDescent="0.2">
      <c r="A23" s="43">
        <f t="shared" si="0"/>
        <v>46124</v>
      </c>
      <c r="B23" s="4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spans="1:67" ht="15.75" x14ac:dyDescent="0.2">
      <c r="A24" s="43">
        <f t="shared" si="0"/>
        <v>46125</v>
      </c>
      <c r="B24" s="4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spans="1:67" ht="15.75" x14ac:dyDescent="0.2">
      <c r="A25" s="43">
        <f t="shared" si="0"/>
        <v>46126</v>
      </c>
      <c r="B25" s="4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spans="1:67" ht="15.75" x14ac:dyDescent="0.2">
      <c r="A26" s="43">
        <f t="shared" si="0"/>
        <v>46127</v>
      </c>
      <c r="B26" s="4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spans="1:67" ht="15.75" x14ac:dyDescent="0.2">
      <c r="A27" s="43">
        <f t="shared" si="0"/>
        <v>46128</v>
      </c>
      <c r="B27" s="4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spans="1:67" ht="15.75" x14ac:dyDescent="0.2">
      <c r="A28" s="43">
        <f t="shared" si="0"/>
        <v>46129</v>
      </c>
      <c r="B28" s="4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spans="1:67" ht="15.75" x14ac:dyDescent="0.2">
      <c r="A29" s="43">
        <f t="shared" si="0"/>
        <v>46130</v>
      </c>
      <c r="B29" s="4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spans="1:67" ht="15.75" x14ac:dyDescent="0.2">
      <c r="A30" s="43">
        <f t="shared" si="0"/>
        <v>46131</v>
      </c>
      <c r="B30" s="4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spans="1:67" ht="15.75" x14ac:dyDescent="0.2">
      <c r="A31" s="43">
        <f t="shared" si="0"/>
        <v>46132</v>
      </c>
      <c r="B31" s="4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spans="1:67" ht="15.75" x14ac:dyDescent="0.2">
      <c r="A32" s="43">
        <f t="shared" si="0"/>
        <v>46133</v>
      </c>
      <c r="B32" s="4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spans="1:67" ht="15.75" x14ac:dyDescent="0.2">
      <c r="A33" s="43">
        <f t="shared" si="0"/>
        <v>46134</v>
      </c>
      <c r="B33" s="4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spans="1:67" ht="15.75" x14ac:dyDescent="0.2">
      <c r="A34" s="43">
        <f>A33+1</f>
        <v>46135</v>
      </c>
      <c r="B34" s="4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spans="1:67" ht="15.75" x14ac:dyDescent="0.2">
      <c r="A35" s="43">
        <f t="shared" si="0"/>
        <v>46136</v>
      </c>
      <c r="B35" s="4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spans="1:67" ht="15.75" x14ac:dyDescent="0.2">
      <c r="A36" s="43">
        <f t="shared" si="0"/>
        <v>46137</v>
      </c>
      <c r="B36" s="4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spans="1:67" ht="15.75" x14ac:dyDescent="0.2">
      <c r="A37" s="43">
        <f t="shared" si="0"/>
        <v>46138</v>
      </c>
      <c r="B37" s="4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spans="1:67" ht="15.75" x14ac:dyDescent="0.2">
      <c r="A38" s="43">
        <f t="shared" si="0"/>
        <v>46139</v>
      </c>
      <c r="B38" s="4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spans="1:67" ht="15.75" x14ac:dyDescent="0.2">
      <c r="A39" s="43">
        <f t="shared" si="0"/>
        <v>46140</v>
      </c>
      <c r="B39" s="4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spans="1:67" ht="15.75" x14ac:dyDescent="0.2">
      <c r="A40" s="43">
        <f>IF(A39="","",IF(A39=EOMONTH(DATE($N$6,$K$6,1),0),"",A39+1))</f>
        <v>46141</v>
      </c>
      <c r="B40" s="4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spans="1:67" ht="15.75" x14ac:dyDescent="0.2">
      <c r="A41" s="43">
        <f>IF(A40="","",IF(A40=EOMONTH(DATE($N$6,$K$6,1),0),"",A40+1))</f>
        <v>46142</v>
      </c>
      <c r="B41" s="4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spans="1:67" ht="15.75" x14ac:dyDescent="0.2">
      <c r="A42" s="43" t="str">
        <f>IF(A41="","",IF(A41=EOMONTH(DATE($N$6,$K$6,1),0),"",A41+1))</f>
        <v/>
      </c>
      <c r="B42" s="4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spans="1:67" ht="13.5" x14ac:dyDescent="0.25">
      <c r="A43" s="14" t="s">
        <v>207</v>
      </c>
      <c r="B43" s="45" t="s">
        <v>208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</row>
    <row r="44" spans="1:67" x14ac:dyDescent="0.2">
      <c r="A44" s="16"/>
      <c r="B44" s="15" t="s">
        <v>209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 t="s">
        <v>210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9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D35" sqref="D35"/>
    </sheetView>
  </sheetViews>
  <sheetFormatPr defaultRowHeight="12.75" x14ac:dyDescent="0.2"/>
  <cols>
    <col min="1" max="2" width="23.5" bestFit="1" customWidth="1"/>
    <col min="3" max="3" width="35.6640625" bestFit="1" customWidth="1"/>
    <col min="4" max="4" width="36.33203125" bestFit="1" customWidth="1"/>
    <col min="5" max="5" width="31.6640625" bestFit="1" customWidth="1"/>
    <col min="6" max="6" width="31.83203125" bestFit="1" customWidth="1"/>
    <col min="7" max="7" width="25.83203125" bestFit="1" customWidth="1"/>
    <col min="8" max="8" width="27.5" bestFit="1" customWidth="1"/>
    <col min="9" max="9" width="25.33203125" bestFit="1" customWidth="1"/>
    <col min="10" max="10" width="22.83203125" bestFit="1" customWidth="1"/>
    <col min="11" max="11" width="35.33203125" bestFit="1" customWidth="1"/>
    <col min="12" max="12" width="22.83203125" bestFit="1" customWidth="1"/>
    <col min="13" max="13" width="30.1640625" bestFit="1" customWidth="1"/>
    <col min="14" max="14" width="38.5" bestFit="1" customWidth="1"/>
    <col min="15" max="15" width="41.6640625" bestFit="1" customWidth="1"/>
    <col min="16" max="16" width="28.33203125" bestFit="1" customWidth="1"/>
    <col min="17" max="17" width="40.1640625" bestFit="1" customWidth="1"/>
    <col min="18" max="18" width="31.33203125" bestFit="1" customWidth="1"/>
    <col min="19" max="19" width="40.6640625" bestFit="1" customWidth="1"/>
    <col min="20" max="20" width="36.33203125" bestFit="1" customWidth="1"/>
    <col min="21" max="21" width="39.6640625" bestFit="1" customWidth="1"/>
    <col min="22" max="22" width="43.33203125" bestFit="1" customWidth="1"/>
    <col min="23" max="23" width="31.33203125" bestFit="1" customWidth="1"/>
    <col min="24" max="24" width="30.1640625" bestFit="1" customWidth="1"/>
    <col min="25" max="25" width="32.83203125" bestFit="1" customWidth="1"/>
    <col min="26" max="26" width="37" bestFit="1" customWidth="1"/>
    <col min="27" max="27" width="28.5" bestFit="1" customWidth="1"/>
    <col min="28" max="28" width="42.33203125" bestFit="1" customWidth="1"/>
    <col min="29" max="29" width="40.1640625" bestFit="1" customWidth="1"/>
    <col min="30" max="30" width="32.83203125" bestFit="1" customWidth="1"/>
    <col min="31" max="31" width="44" bestFit="1" customWidth="1"/>
    <col min="32" max="32" width="40.83203125" bestFit="1" customWidth="1"/>
    <col min="33" max="33" width="23" bestFit="1" customWidth="1"/>
    <col min="34" max="34" width="29.1640625" bestFit="1" customWidth="1"/>
    <col min="35" max="35" width="36.83203125" bestFit="1" customWidth="1"/>
    <col min="36" max="36" width="42.5" bestFit="1" customWidth="1"/>
    <col min="37" max="37" width="40.6640625" bestFit="1" customWidth="1"/>
    <col min="38" max="38" width="37.5" bestFit="1" customWidth="1"/>
    <col min="39" max="39" width="32.5" bestFit="1" customWidth="1"/>
    <col min="40" max="40" width="30.6640625" bestFit="1" customWidth="1"/>
    <col min="41" max="41" width="25.1640625" bestFit="1" customWidth="1"/>
    <col min="42" max="42" width="30" bestFit="1" customWidth="1"/>
    <col min="43" max="43" width="30.1640625" bestFit="1" customWidth="1"/>
    <col min="44" max="44" width="27.33203125" bestFit="1" customWidth="1"/>
    <col min="45" max="45" width="29" bestFit="1" customWidth="1"/>
    <col min="46" max="46" width="44.6640625" bestFit="1" customWidth="1"/>
    <col min="47" max="47" width="45.83203125" bestFit="1" customWidth="1"/>
    <col min="48" max="48" width="29.6640625" bestFit="1" customWidth="1"/>
    <col min="49" max="49" width="30.1640625" bestFit="1" customWidth="1"/>
    <col min="50" max="51" width="24.6640625" bestFit="1" customWidth="1"/>
    <col min="52" max="52" width="31.33203125" bestFit="1" customWidth="1"/>
    <col min="53" max="53" width="32.83203125" bestFit="1" customWidth="1"/>
    <col min="54" max="54" width="43.33203125" bestFit="1" customWidth="1"/>
    <col min="55" max="55" width="30.1640625" bestFit="1" customWidth="1"/>
    <col min="56" max="56" width="36.33203125" bestFit="1" customWidth="1"/>
    <col min="57" max="57" width="17.5" bestFit="1" customWidth="1"/>
    <col min="58" max="58" width="33.6640625" bestFit="1" customWidth="1"/>
    <col min="59" max="59" width="41.33203125" bestFit="1" customWidth="1"/>
    <col min="60" max="60" width="6.83203125" bestFit="1" customWidth="1"/>
    <col min="61" max="61" width="28.6640625" bestFit="1" customWidth="1"/>
    <col min="62" max="62" width="29.1640625" bestFit="1" customWidth="1"/>
    <col min="63" max="63" width="28" bestFit="1" customWidth="1"/>
    <col min="64" max="64" width="28.6640625" bestFit="1" customWidth="1"/>
    <col min="65" max="65" width="38" bestFit="1" customWidth="1"/>
    <col min="66" max="66" width="35" bestFit="1" customWidth="1"/>
    <col min="67" max="67" width="14.6640625" bestFit="1" customWidth="1"/>
  </cols>
  <sheetData>
    <row r="1" spans="1:67" x14ac:dyDescent="0.2">
      <c r="A1" s="17" t="s">
        <v>0</v>
      </c>
      <c r="B1" s="1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7" t="s">
        <v>2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9"/>
    </row>
    <row r="2" spans="1:67" x14ac:dyDescent="0.2">
      <c r="A2" s="17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7" t="s">
        <v>3</v>
      </c>
      <c r="O2" s="28"/>
      <c r="P2" s="29"/>
      <c r="Q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9"/>
      <c r="BO2" s="1" t="s">
        <v>4</v>
      </c>
    </row>
    <row r="3" spans="1:67" x14ac:dyDescent="0.2">
      <c r="A3" s="17"/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6"/>
      <c r="N3" s="27" t="s">
        <v>5</v>
      </c>
      <c r="O3" s="28"/>
      <c r="P3" s="29"/>
      <c r="Q3" s="2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9"/>
      <c r="BO3" s="1" t="s">
        <v>6</v>
      </c>
    </row>
    <row r="4" spans="1:67" x14ac:dyDescent="0.2">
      <c r="A4" s="30" t="s">
        <v>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2"/>
    </row>
    <row r="5" spans="1:67" ht="18.75" x14ac:dyDescent="0.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6</v>
      </c>
      <c r="L6" s="3"/>
      <c r="M6" s="3" t="s">
        <v>10</v>
      </c>
      <c r="N6" s="34">
        <v>2026</v>
      </c>
      <c r="O6" s="3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5" t="s">
        <v>11</v>
      </c>
      <c r="B8" s="37" t="s">
        <v>12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0" t="s">
        <v>13</v>
      </c>
    </row>
    <row r="9" spans="1:67" x14ac:dyDescent="0.2">
      <c r="A9" s="35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41"/>
    </row>
    <row r="10" spans="1:67" ht="15" x14ac:dyDescent="0.25">
      <c r="A10" s="35"/>
      <c r="B10" s="6" t="s">
        <v>79</v>
      </c>
      <c r="C10" s="7" t="s">
        <v>80</v>
      </c>
      <c r="D10" s="7" t="s">
        <v>81</v>
      </c>
      <c r="E10" s="8" t="s">
        <v>82</v>
      </c>
      <c r="F10" s="8" t="s">
        <v>83</v>
      </c>
      <c r="G10" s="8" t="s">
        <v>84</v>
      </c>
      <c r="H10" s="8" t="s">
        <v>85</v>
      </c>
      <c r="I10" s="7" t="s">
        <v>86</v>
      </c>
      <c r="J10" s="8" t="s">
        <v>87</v>
      </c>
      <c r="K10" s="8" t="s">
        <v>88</v>
      </c>
      <c r="L10" s="8" t="s">
        <v>89</v>
      </c>
      <c r="M10" s="8" t="s">
        <v>90</v>
      </c>
      <c r="N10" s="8" t="s">
        <v>91</v>
      </c>
      <c r="O10" s="8" t="s">
        <v>92</v>
      </c>
      <c r="P10" s="8" t="s">
        <v>93</v>
      </c>
      <c r="Q10" s="8" t="s">
        <v>94</v>
      </c>
      <c r="R10" s="8" t="s">
        <v>95</v>
      </c>
      <c r="S10" s="9" t="s">
        <v>96</v>
      </c>
      <c r="T10" s="8" t="s">
        <v>97</v>
      </c>
      <c r="U10" s="8" t="s">
        <v>98</v>
      </c>
      <c r="V10" s="8" t="s">
        <v>99</v>
      </c>
      <c r="W10" s="8" t="s">
        <v>100</v>
      </c>
      <c r="X10" s="8" t="s">
        <v>101</v>
      </c>
      <c r="Y10" s="8" t="s">
        <v>102</v>
      </c>
      <c r="Z10" s="8" t="s">
        <v>103</v>
      </c>
      <c r="AA10" s="8" t="s">
        <v>104</v>
      </c>
      <c r="AB10" s="8" t="s">
        <v>105</v>
      </c>
      <c r="AC10" s="8" t="s">
        <v>106</v>
      </c>
      <c r="AD10" s="8" t="s">
        <v>107</v>
      </c>
      <c r="AE10" s="8" t="s">
        <v>108</v>
      </c>
      <c r="AF10" s="8" t="s">
        <v>109</v>
      </c>
      <c r="AG10" s="8" t="s">
        <v>110</v>
      </c>
      <c r="AH10" s="8" t="s">
        <v>111</v>
      </c>
      <c r="AI10" s="8" t="s">
        <v>112</v>
      </c>
      <c r="AJ10" s="8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8" t="s">
        <v>123</v>
      </c>
      <c r="AU10" s="8" t="s">
        <v>124</v>
      </c>
      <c r="AV10" s="8" t="s">
        <v>125</v>
      </c>
      <c r="AW10" s="8" t="s">
        <v>126</v>
      </c>
      <c r="AX10" s="8" t="s">
        <v>127</v>
      </c>
      <c r="AY10" s="8" t="s">
        <v>128</v>
      </c>
      <c r="AZ10" s="7" t="s">
        <v>129</v>
      </c>
      <c r="BA10" s="7" t="s">
        <v>130</v>
      </c>
      <c r="BB10" s="7" t="s">
        <v>131</v>
      </c>
      <c r="BC10" s="7" t="s">
        <v>132</v>
      </c>
      <c r="BD10" s="7" t="s">
        <v>133</v>
      </c>
      <c r="BE10" s="7" t="s">
        <v>134</v>
      </c>
      <c r="BF10" s="7" t="s">
        <v>135</v>
      </c>
      <c r="BG10" s="7" t="s">
        <v>136</v>
      </c>
      <c r="BH10" s="8"/>
      <c r="BI10" s="8" t="s">
        <v>137</v>
      </c>
      <c r="BJ10" s="8" t="s">
        <v>138</v>
      </c>
      <c r="BK10" s="8" t="s">
        <v>139</v>
      </c>
      <c r="BL10" s="8" t="s">
        <v>140</v>
      </c>
      <c r="BM10" s="8" t="s">
        <v>141</v>
      </c>
      <c r="BN10" s="8" t="s">
        <v>142</v>
      </c>
      <c r="BO10" s="41"/>
    </row>
    <row r="11" spans="1:67" x14ac:dyDescent="0.2">
      <c r="A11" s="36"/>
      <c r="B11" s="6" t="s">
        <v>143</v>
      </c>
      <c r="C11" s="10" t="s">
        <v>144</v>
      </c>
      <c r="D11" s="10" t="s">
        <v>145</v>
      </c>
      <c r="E11" s="10" t="s">
        <v>146</v>
      </c>
      <c r="F11" s="10" t="s">
        <v>147</v>
      </c>
      <c r="G11" s="10" t="s">
        <v>148</v>
      </c>
      <c r="H11" s="10" t="s">
        <v>149</v>
      </c>
      <c r="I11" s="10" t="s">
        <v>150</v>
      </c>
      <c r="J11" s="10" t="s">
        <v>151</v>
      </c>
      <c r="K11" s="10" t="s">
        <v>152</v>
      </c>
      <c r="L11" s="10" t="s">
        <v>153</v>
      </c>
      <c r="M11" s="10" t="s">
        <v>154</v>
      </c>
      <c r="N11" s="10" t="s">
        <v>155</v>
      </c>
      <c r="O11" s="10" t="s">
        <v>156</v>
      </c>
      <c r="P11" s="10" t="s">
        <v>157</v>
      </c>
      <c r="Q11" s="10" t="s">
        <v>158</v>
      </c>
      <c r="R11" s="10" t="s">
        <v>159</v>
      </c>
      <c r="S11" s="10" t="s">
        <v>160</v>
      </c>
      <c r="T11" s="10" t="s">
        <v>161</v>
      </c>
      <c r="U11" s="10" t="s">
        <v>162</v>
      </c>
      <c r="V11" s="10" t="s">
        <v>163</v>
      </c>
      <c r="W11" s="10" t="s">
        <v>164</v>
      </c>
      <c r="X11" s="10" t="s">
        <v>165</v>
      </c>
      <c r="Y11" s="10" t="s">
        <v>166</v>
      </c>
      <c r="Z11" s="10" t="s">
        <v>167</v>
      </c>
      <c r="AA11" s="10" t="s">
        <v>168</v>
      </c>
      <c r="AB11" s="10" t="s">
        <v>169</v>
      </c>
      <c r="AC11" s="10" t="s">
        <v>170</v>
      </c>
      <c r="AD11" s="10" t="s">
        <v>171</v>
      </c>
      <c r="AE11" s="10" t="s">
        <v>172</v>
      </c>
      <c r="AF11" s="10" t="s">
        <v>173</v>
      </c>
      <c r="AG11" s="10" t="s">
        <v>174</v>
      </c>
      <c r="AH11" s="10" t="s">
        <v>175</v>
      </c>
      <c r="AI11" s="10" t="s">
        <v>176</v>
      </c>
      <c r="AJ11" s="10" t="s">
        <v>177</v>
      </c>
      <c r="AK11" s="10" t="s">
        <v>178</v>
      </c>
      <c r="AL11" s="10" t="s">
        <v>179</v>
      </c>
      <c r="AM11" s="10" t="s">
        <v>180</v>
      </c>
      <c r="AN11" s="10" t="s">
        <v>181</v>
      </c>
      <c r="AO11" s="10" t="s">
        <v>182</v>
      </c>
      <c r="AP11" s="10" t="s">
        <v>183</v>
      </c>
      <c r="AQ11" s="10" t="s">
        <v>184</v>
      </c>
      <c r="AR11" s="10" t="s">
        <v>185</v>
      </c>
      <c r="AS11" s="10" t="s">
        <v>186</v>
      </c>
      <c r="AT11" s="10" t="s">
        <v>187</v>
      </c>
      <c r="AU11" s="10" t="s">
        <v>188</v>
      </c>
      <c r="AV11" s="10" t="s">
        <v>189</v>
      </c>
      <c r="AW11" s="10" t="s">
        <v>190</v>
      </c>
      <c r="AX11" s="10" t="s">
        <v>191</v>
      </c>
      <c r="AY11" s="10" t="s">
        <v>192</v>
      </c>
      <c r="AZ11" s="10" t="s">
        <v>193</v>
      </c>
      <c r="BA11" s="10" t="s">
        <v>194</v>
      </c>
      <c r="BB11" s="10" t="s">
        <v>195</v>
      </c>
      <c r="BC11" s="10" t="s">
        <v>196</v>
      </c>
      <c r="BD11" s="10" t="s">
        <v>197</v>
      </c>
      <c r="BE11" s="10" t="s">
        <v>198</v>
      </c>
      <c r="BF11" s="10" t="s">
        <v>199</v>
      </c>
      <c r="BG11" s="10" t="s">
        <v>200</v>
      </c>
      <c r="BH11" s="10"/>
      <c r="BI11" s="10" t="s">
        <v>201</v>
      </c>
      <c r="BJ11" s="10" t="s">
        <v>202</v>
      </c>
      <c r="BK11" s="10" t="s">
        <v>203</v>
      </c>
      <c r="BL11" s="10" t="s">
        <v>204</v>
      </c>
      <c r="BM11" s="10" t="s">
        <v>205</v>
      </c>
      <c r="BN11" s="11" t="s">
        <v>206</v>
      </c>
      <c r="BO11" s="42"/>
    </row>
    <row r="12" spans="1:67" ht="15.75" x14ac:dyDescent="0.2">
      <c r="A12" s="43">
        <f>DATE(N6,K6,1)</f>
        <v>46174</v>
      </c>
      <c r="B12" s="4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3"/>
    </row>
    <row r="13" spans="1:67" ht="15.75" x14ac:dyDescent="0.2">
      <c r="A13" s="43">
        <f>A12+1</f>
        <v>46175</v>
      </c>
      <c r="B13" s="4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spans="1:67" ht="15.75" x14ac:dyDescent="0.2">
      <c r="A14" s="43">
        <f t="shared" ref="A14:A39" si="0">A13+1</f>
        <v>46176</v>
      </c>
      <c r="B14" s="4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15.75" x14ac:dyDescent="0.2">
      <c r="A15" s="43">
        <f t="shared" si="0"/>
        <v>46177</v>
      </c>
      <c r="B15" s="4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spans="1:67" ht="15.75" x14ac:dyDescent="0.2">
      <c r="A16" s="43">
        <f t="shared" si="0"/>
        <v>46178</v>
      </c>
      <c r="B16" s="4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67" ht="15.75" x14ac:dyDescent="0.2">
      <c r="A17" s="43">
        <f t="shared" si="0"/>
        <v>46179</v>
      </c>
      <c r="B17" s="4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spans="1:67" ht="15.75" x14ac:dyDescent="0.2">
      <c r="A18" s="43">
        <f t="shared" si="0"/>
        <v>46180</v>
      </c>
      <c r="B18" s="4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spans="1:67" ht="15.75" x14ac:dyDescent="0.2">
      <c r="A19" s="43">
        <f t="shared" si="0"/>
        <v>46181</v>
      </c>
      <c r="B19" s="4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spans="1:67" ht="15.75" x14ac:dyDescent="0.2">
      <c r="A20" s="43">
        <f t="shared" si="0"/>
        <v>46182</v>
      </c>
      <c r="B20" s="4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spans="1:67" ht="15.75" x14ac:dyDescent="0.2">
      <c r="A21" s="43">
        <f t="shared" si="0"/>
        <v>46183</v>
      </c>
      <c r="B21" s="4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spans="1:67" ht="15.75" x14ac:dyDescent="0.2">
      <c r="A22" s="43">
        <f t="shared" si="0"/>
        <v>46184</v>
      </c>
      <c r="B22" s="4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spans="1:67" ht="15.75" x14ac:dyDescent="0.2">
      <c r="A23" s="43">
        <f t="shared" si="0"/>
        <v>46185</v>
      </c>
      <c r="B23" s="4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spans="1:67" ht="15.75" x14ac:dyDescent="0.2">
      <c r="A24" s="43">
        <f t="shared" si="0"/>
        <v>46186</v>
      </c>
      <c r="B24" s="4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spans="1:67" ht="15.75" x14ac:dyDescent="0.2">
      <c r="A25" s="43">
        <f t="shared" si="0"/>
        <v>46187</v>
      </c>
      <c r="B25" s="4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spans="1:67" ht="15.75" x14ac:dyDescent="0.2">
      <c r="A26" s="43">
        <f t="shared" si="0"/>
        <v>46188</v>
      </c>
      <c r="B26" s="4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spans="1:67" ht="15.75" x14ac:dyDescent="0.2">
      <c r="A27" s="43">
        <f t="shared" si="0"/>
        <v>46189</v>
      </c>
      <c r="B27" s="4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spans="1:67" ht="15.75" x14ac:dyDescent="0.2">
      <c r="A28" s="43">
        <f t="shared" si="0"/>
        <v>46190</v>
      </c>
      <c r="B28" s="4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spans="1:67" ht="15.75" x14ac:dyDescent="0.2">
      <c r="A29" s="43">
        <f t="shared" si="0"/>
        <v>46191</v>
      </c>
      <c r="B29" s="4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spans="1:67" ht="15.75" x14ac:dyDescent="0.2">
      <c r="A30" s="43">
        <f t="shared" si="0"/>
        <v>46192</v>
      </c>
      <c r="B30" s="4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spans="1:67" ht="15.75" x14ac:dyDescent="0.2">
      <c r="A31" s="43">
        <f t="shared" si="0"/>
        <v>46193</v>
      </c>
      <c r="B31" s="4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spans="1:67" ht="15.75" x14ac:dyDescent="0.2">
      <c r="A32" s="43">
        <f t="shared" si="0"/>
        <v>46194</v>
      </c>
      <c r="B32" s="4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spans="1:67" ht="15.75" x14ac:dyDescent="0.2">
      <c r="A33" s="43">
        <f t="shared" si="0"/>
        <v>46195</v>
      </c>
      <c r="B33" s="4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spans="1:67" ht="15.75" x14ac:dyDescent="0.2">
      <c r="A34" s="43">
        <f>A33+1</f>
        <v>46196</v>
      </c>
      <c r="B34" s="4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spans="1:67" ht="15.75" x14ac:dyDescent="0.2">
      <c r="A35" s="43">
        <f t="shared" si="0"/>
        <v>46197</v>
      </c>
      <c r="B35" s="4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spans="1:67" ht="15.75" x14ac:dyDescent="0.2">
      <c r="A36" s="43">
        <f t="shared" si="0"/>
        <v>46198</v>
      </c>
      <c r="B36" s="4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spans="1:67" ht="15.75" x14ac:dyDescent="0.2">
      <c r="A37" s="43">
        <f t="shared" si="0"/>
        <v>46199</v>
      </c>
      <c r="B37" s="4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spans="1:67" ht="15.75" x14ac:dyDescent="0.2">
      <c r="A38" s="43">
        <f t="shared" si="0"/>
        <v>46200</v>
      </c>
      <c r="B38" s="4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spans="1:67" ht="15.75" x14ac:dyDescent="0.2">
      <c r="A39" s="43">
        <f t="shared" si="0"/>
        <v>46201</v>
      </c>
      <c r="B39" s="4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spans="1:67" ht="15.75" x14ac:dyDescent="0.2">
      <c r="A40" s="43">
        <f>IF(A39="","",IF(A39=EOMONTH(DATE($N$6,$K$6,1),0),"",A39+1))</f>
        <v>46202</v>
      </c>
      <c r="B40" s="4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spans="1:67" ht="15.75" x14ac:dyDescent="0.2">
      <c r="A41" s="43">
        <f>IF(A40="","",IF(A40=EOMONTH(DATE($N$6,$K$6,1),0),"",A40+1))</f>
        <v>46203</v>
      </c>
      <c r="B41" s="4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spans="1:67" ht="15.75" x14ac:dyDescent="0.2">
      <c r="A42" s="43" t="str">
        <f>IF(A41="","",IF(A41=EOMONTH(DATE($N$6,$K$6,1),0),"",A41+1))</f>
        <v/>
      </c>
      <c r="B42" s="4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spans="1:67" ht="13.5" x14ac:dyDescent="0.25">
      <c r="A43" s="14" t="s">
        <v>207</v>
      </c>
      <c r="B43" s="45" t="s">
        <v>208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</row>
    <row r="44" spans="1:67" x14ac:dyDescent="0.2">
      <c r="A44" s="16"/>
      <c r="B44" s="15" t="s">
        <v>209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 t="s">
        <v>210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3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H27" sqref="H27"/>
    </sheetView>
  </sheetViews>
  <sheetFormatPr defaultRowHeight="12.75" x14ac:dyDescent="0.2"/>
  <cols>
    <col min="1" max="2" width="23.5" bestFit="1" customWidth="1"/>
    <col min="3" max="3" width="35.6640625" bestFit="1" customWidth="1"/>
    <col min="4" max="4" width="36.33203125" bestFit="1" customWidth="1"/>
    <col min="5" max="5" width="31.6640625" bestFit="1" customWidth="1"/>
    <col min="6" max="6" width="31.83203125" bestFit="1" customWidth="1"/>
    <col min="7" max="7" width="25.83203125" bestFit="1" customWidth="1"/>
    <col min="8" max="8" width="27.5" bestFit="1" customWidth="1"/>
    <col min="9" max="9" width="25.33203125" bestFit="1" customWidth="1"/>
    <col min="10" max="10" width="22.83203125" bestFit="1" customWidth="1"/>
    <col min="11" max="11" width="35.33203125" bestFit="1" customWidth="1"/>
    <col min="12" max="12" width="22.83203125" bestFit="1" customWidth="1"/>
    <col min="13" max="13" width="30.1640625" bestFit="1" customWidth="1"/>
    <col min="14" max="14" width="38.5" bestFit="1" customWidth="1"/>
    <col min="15" max="15" width="41.6640625" bestFit="1" customWidth="1"/>
    <col min="16" max="16" width="28.33203125" bestFit="1" customWidth="1"/>
    <col min="17" max="17" width="40.1640625" bestFit="1" customWidth="1"/>
    <col min="18" max="18" width="31.33203125" bestFit="1" customWidth="1"/>
    <col min="19" max="19" width="40.6640625" bestFit="1" customWidth="1"/>
    <col min="20" max="20" width="36.33203125" bestFit="1" customWidth="1"/>
    <col min="21" max="21" width="39.6640625" bestFit="1" customWidth="1"/>
    <col min="22" max="22" width="43.33203125" bestFit="1" customWidth="1"/>
    <col min="23" max="23" width="31.33203125" bestFit="1" customWidth="1"/>
    <col min="24" max="24" width="30.1640625" bestFit="1" customWidth="1"/>
    <col min="25" max="25" width="32.83203125" bestFit="1" customWidth="1"/>
    <col min="26" max="26" width="37" bestFit="1" customWidth="1"/>
    <col min="27" max="27" width="28.5" bestFit="1" customWidth="1"/>
    <col min="28" max="28" width="42.33203125" bestFit="1" customWidth="1"/>
    <col min="29" max="29" width="40.1640625" bestFit="1" customWidth="1"/>
    <col min="30" max="30" width="32.83203125" bestFit="1" customWidth="1"/>
    <col min="31" max="31" width="44" bestFit="1" customWidth="1"/>
    <col min="32" max="32" width="40.83203125" bestFit="1" customWidth="1"/>
    <col min="33" max="33" width="23" bestFit="1" customWidth="1"/>
    <col min="34" max="34" width="29.1640625" bestFit="1" customWidth="1"/>
    <col min="35" max="35" width="36.83203125" bestFit="1" customWidth="1"/>
    <col min="36" max="36" width="42.5" bestFit="1" customWidth="1"/>
    <col min="37" max="37" width="40.6640625" bestFit="1" customWidth="1"/>
    <col min="38" max="38" width="37.5" bestFit="1" customWidth="1"/>
    <col min="39" max="39" width="32.5" bestFit="1" customWidth="1"/>
    <col min="40" max="40" width="30.6640625" bestFit="1" customWidth="1"/>
    <col min="41" max="41" width="25.1640625" bestFit="1" customWidth="1"/>
    <col min="42" max="42" width="30" bestFit="1" customWidth="1"/>
    <col min="43" max="43" width="30.1640625" bestFit="1" customWidth="1"/>
    <col min="44" max="44" width="27.33203125" bestFit="1" customWidth="1"/>
    <col min="45" max="45" width="29" bestFit="1" customWidth="1"/>
    <col min="46" max="46" width="44.6640625" bestFit="1" customWidth="1"/>
    <col min="47" max="47" width="45.83203125" bestFit="1" customWidth="1"/>
    <col min="48" max="48" width="29.6640625" bestFit="1" customWidth="1"/>
    <col min="49" max="49" width="30.1640625" bestFit="1" customWidth="1"/>
    <col min="50" max="51" width="24.6640625" bestFit="1" customWidth="1"/>
    <col min="52" max="52" width="31.33203125" bestFit="1" customWidth="1"/>
    <col min="53" max="53" width="32.83203125" bestFit="1" customWidth="1"/>
    <col min="54" max="54" width="43.33203125" bestFit="1" customWidth="1"/>
    <col min="55" max="55" width="30.1640625" bestFit="1" customWidth="1"/>
    <col min="56" max="56" width="36.33203125" bestFit="1" customWidth="1"/>
    <col min="57" max="57" width="17.5" bestFit="1" customWidth="1"/>
    <col min="58" max="58" width="33.6640625" bestFit="1" customWidth="1"/>
    <col min="59" max="59" width="41.33203125" bestFit="1" customWidth="1"/>
    <col min="60" max="60" width="6.83203125" bestFit="1" customWidth="1"/>
    <col min="61" max="61" width="28.6640625" bestFit="1" customWidth="1"/>
    <col min="62" max="62" width="29.1640625" bestFit="1" customWidth="1"/>
    <col min="63" max="63" width="28" bestFit="1" customWidth="1"/>
    <col min="64" max="64" width="28.6640625" bestFit="1" customWidth="1"/>
    <col min="65" max="65" width="38" bestFit="1" customWidth="1"/>
    <col min="66" max="66" width="35" bestFit="1" customWidth="1"/>
    <col min="67" max="67" width="14.6640625" bestFit="1" customWidth="1"/>
  </cols>
  <sheetData>
    <row r="1" spans="1:67" x14ac:dyDescent="0.2">
      <c r="A1" s="17" t="s">
        <v>0</v>
      </c>
      <c r="B1" s="1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7" t="s">
        <v>2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9"/>
    </row>
    <row r="2" spans="1:67" x14ac:dyDescent="0.2">
      <c r="A2" s="17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7" t="s">
        <v>3</v>
      </c>
      <c r="O2" s="28"/>
      <c r="P2" s="29"/>
      <c r="Q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9"/>
      <c r="BO2" s="1" t="s">
        <v>4</v>
      </c>
    </row>
    <row r="3" spans="1:67" x14ac:dyDescent="0.2">
      <c r="A3" s="17"/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6"/>
      <c r="N3" s="27" t="s">
        <v>5</v>
      </c>
      <c r="O3" s="28"/>
      <c r="P3" s="29"/>
      <c r="Q3" s="2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9"/>
      <c r="BO3" s="1" t="s">
        <v>6</v>
      </c>
    </row>
    <row r="4" spans="1:67" x14ac:dyDescent="0.2">
      <c r="A4" s="30" t="s">
        <v>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2"/>
    </row>
    <row r="5" spans="1:67" ht="18.75" x14ac:dyDescent="0.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6</v>
      </c>
      <c r="L6" s="3"/>
      <c r="M6" s="3" t="s">
        <v>10</v>
      </c>
      <c r="N6" s="34">
        <v>2026</v>
      </c>
      <c r="O6" s="3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5" t="s">
        <v>11</v>
      </c>
      <c r="B8" s="37" t="s">
        <v>12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0" t="s">
        <v>13</v>
      </c>
    </row>
    <row r="9" spans="1:67" x14ac:dyDescent="0.2">
      <c r="A9" s="35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41"/>
    </row>
    <row r="10" spans="1:67" ht="15" x14ac:dyDescent="0.25">
      <c r="A10" s="35"/>
      <c r="B10" s="6" t="s">
        <v>79</v>
      </c>
      <c r="C10" s="7" t="s">
        <v>80</v>
      </c>
      <c r="D10" s="7" t="s">
        <v>81</v>
      </c>
      <c r="E10" s="8" t="s">
        <v>82</v>
      </c>
      <c r="F10" s="8" t="s">
        <v>83</v>
      </c>
      <c r="G10" s="8" t="s">
        <v>84</v>
      </c>
      <c r="H10" s="8" t="s">
        <v>85</v>
      </c>
      <c r="I10" s="7" t="s">
        <v>86</v>
      </c>
      <c r="J10" s="8" t="s">
        <v>87</v>
      </c>
      <c r="K10" s="8" t="s">
        <v>88</v>
      </c>
      <c r="L10" s="8" t="s">
        <v>89</v>
      </c>
      <c r="M10" s="8" t="s">
        <v>90</v>
      </c>
      <c r="N10" s="8" t="s">
        <v>91</v>
      </c>
      <c r="O10" s="8" t="s">
        <v>92</v>
      </c>
      <c r="P10" s="8" t="s">
        <v>93</v>
      </c>
      <c r="Q10" s="8" t="s">
        <v>94</v>
      </c>
      <c r="R10" s="8" t="s">
        <v>95</v>
      </c>
      <c r="S10" s="9" t="s">
        <v>96</v>
      </c>
      <c r="T10" s="8" t="s">
        <v>97</v>
      </c>
      <c r="U10" s="8" t="s">
        <v>98</v>
      </c>
      <c r="V10" s="8" t="s">
        <v>99</v>
      </c>
      <c r="W10" s="8" t="s">
        <v>100</v>
      </c>
      <c r="X10" s="8" t="s">
        <v>101</v>
      </c>
      <c r="Y10" s="8" t="s">
        <v>102</v>
      </c>
      <c r="Z10" s="8" t="s">
        <v>103</v>
      </c>
      <c r="AA10" s="8" t="s">
        <v>104</v>
      </c>
      <c r="AB10" s="8" t="s">
        <v>105</v>
      </c>
      <c r="AC10" s="8" t="s">
        <v>106</v>
      </c>
      <c r="AD10" s="8" t="s">
        <v>107</v>
      </c>
      <c r="AE10" s="8" t="s">
        <v>108</v>
      </c>
      <c r="AF10" s="8" t="s">
        <v>109</v>
      </c>
      <c r="AG10" s="8" t="s">
        <v>110</v>
      </c>
      <c r="AH10" s="8" t="s">
        <v>111</v>
      </c>
      <c r="AI10" s="8" t="s">
        <v>112</v>
      </c>
      <c r="AJ10" s="8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8" t="s">
        <v>123</v>
      </c>
      <c r="AU10" s="8" t="s">
        <v>124</v>
      </c>
      <c r="AV10" s="8" t="s">
        <v>125</v>
      </c>
      <c r="AW10" s="8" t="s">
        <v>126</v>
      </c>
      <c r="AX10" s="8" t="s">
        <v>127</v>
      </c>
      <c r="AY10" s="8" t="s">
        <v>128</v>
      </c>
      <c r="AZ10" s="7" t="s">
        <v>129</v>
      </c>
      <c r="BA10" s="7" t="s">
        <v>130</v>
      </c>
      <c r="BB10" s="7" t="s">
        <v>131</v>
      </c>
      <c r="BC10" s="7" t="s">
        <v>132</v>
      </c>
      <c r="BD10" s="7" t="s">
        <v>133</v>
      </c>
      <c r="BE10" s="7" t="s">
        <v>134</v>
      </c>
      <c r="BF10" s="7" t="s">
        <v>135</v>
      </c>
      <c r="BG10" s="7" t="s">
        <v>136</v>
      </c>
      <c r="BH10" s="8"/>
      <c r="BI10" s="8" t="s">
        <v>137</v>
      </c>
      <c r="BJ10" s="8" t="s">
        <v>138</v>
      </c>
      <c r="BK10" s="8" t="s">
        <v>139</v>
      </c>
      <c r="BL10" s="8" t="s">
        <v>140</v>
      </c>
      <c r="BM10" s="8" t="s">
        <v>141</v>
      </c>
      <c r="BN10" s="8" t="s">
        <v>142</v>
      </c>
      <c r="BO10" s="41"/>
    </row>
    <row r="11" spans="1:67" x14ac:dyDescent="0.2">
      <c r="A11" s="36"/>
      <c r="B11" s="6" t="s">
        <v>143</v>
      </c>
      <c r="C11" s="10" t="s">
        <v>144</v>
      </c>
      <c r="D11" s="10" t="s">
        <v>145</v>
      </c>
      <c r="E11" s="10" t="s">
        <v>146</v>
      </c>
      <c r="F11" s="10" t="s">
        <v>147</v>
      </c>
      <c r="G11" s="10" t="s">
        <v>148</v>
      </c>
      <c r="H11" s="10" t="s">
        <v>149</v>
      </c>
      <c r="I11" s="10" t="s">
        <v>150</v>
      </c>
      <c r="J11" s="10" t="s">
        <v>151</v>
      </c>
      <c r="K11" s="10" t="s">
        <v>152</v>
      </c>
      <c r="L11" s="10" t="s">
        <v>153</v>
      </c>
      <c r="M11" s="10" t="s">
        <v>154</v>
      </c>
      <c r="N11" s="10" t="s">
        <v>155</v>
      </c>
      <c r="O11" s="10" t="s">
        <v>156</v>
      </c>
      <c r="P11" s="10" t="s">
        <v>157</v>
      </c>
      <c r="Q11" s="10" t="s">
        <v>158</v>
      </c>
      <c r="R11" s="10" t="s">
        <v>159</v>
      </c>
      <c r="S11" s="10" t="s">
        <v>160</v>
      </c>
      <c r="T11" s="10" t="s">
        <v>161</v>
      </c>
      <c r="U11" s="10" t="s">
        <v>162</v>
      </c>
      <c r="V11" s="10" t="s">
        <v>163</v>
      </c>
      <c r="W11" s="10" t="s">
        <v>164</v>
      </c>
      <c r="X11" s="10" t="s">
        <v>165</v>
      </c>
      <c r="Y11" s="10" t="s">
        <v>166</v>
      </c>
      <c r="Z11" s="10" t="s">
        <v>167</v>
      </c>
      <c r="AA11" s="10" t="s">
        <v>168</v>
      </c>
      <c r="AB11" s="10" t="s">
        <v>169</v>
      </c>
      <c r="AC11" s="10" t="s">
        <v>170</v>
      </c>
      <c r="AD11" s="10" t="s">
        <v>171</v>
      </c>
      <c r="AE11" s="10" t="s">
        <v>172</v>
      </c>
      <c r="AF11" s="10" t="s">
        <v>173</v>
      </c>
      <c r="AG11" s="10" t="s">
        <v>174</v>
      </c>
      <c r="AH11" s="10" t="s">
        <v>175</v>
      </c>
      <c r="AI11" s="10" t="s">
        <v>176</v>
      </c>
      <c r="AJ11" s="10" t="s">
        <v>177</v>
      </c>
      <c r="AK11" s="10" t="s">
        <v>178</v>
      </c>
      <c r="AL11" s="10" t="s">
        <v>179</v>
      </c>
      <c r="AM11" s="10" t="s">
        <v>180</v>
      </c>
      <c r="AN11" s="10" t="s">
        <v>181</v>
      </c>
      <c r="AO11" s="10" t="s">
        <v>182</v>
      </c>
      <c r="AP11" s="10" t="s">
        <v>183</v>
      </c>
      <c r="AQ11" s="10" t="s">
        <v>184</v>
      </c>
      <c r="AR11" s="10" t="s">
        <v>185</v>
      </c>
      <c r="AS11" s="10" t="s">
        <v>186</v>
      </c>
      <c r="AT11" s="10" t="s">
        <v>187</v>
      </c>
      <c r="AU11" s="10" t="s">
        <v>188</v>
      </c>
      <c r="AV11" s="10" t="s">
        <v>189</v>
      </c>
      <c r="AW11" s="10" t="s">
        <v>190</v>
      </c>
      <c r="AX11" s="10" t="s">
        <v>191</v>
      </c>
      <c r="AY11" s="10" t="s">
        <v>192</v>
      </c>
      <c r="AZ11" s="10" t="s">
        <v>193</v>
      </c>
      <c r="BA11" s="10" t="s">
        <v>194</v>
      </c>
      <c r="BB11" s="10" t="s">
        <v>195</v>
      </c>
      <c r="BC11" s="10" t="s">
        <v>196</v>
      </c>
      <c r="BD11" s="10" t="s">
        <v>197</v>
      </c>
      <c r="BE11" s="10" t="s">
        <v>198</v>
      </c>
      <c r="BF11" s="10" t="s">
        <v>199</v>
      </c>
      <c r="BG11" s="10" t="s">
        <v>200</v>
      </c>
      <c r="BH11" s="10"/>
      <c r="BI11" s="10" t="s">
        <v>201</v>
      </c>
      <c r="BJ11" s="10" t="s">
        <v>202</v>
      </c>
      <c r="BK11" s="10" t="s">
        <v>203</v>
      </c>
      <c r="BL11" s="10" t="s">
        <v>204</v>
      </c>
      <c r="BM11" s="10" t="s">
        <v>205</v>
      </c>
      <c r="BN11" s="11" t="s">
        <v>206</v>
      </c>
      <c r="BO11" s="42"/>
    </row>
    <row r="12" spans="1:67" ht="15.75" x14ac:dyDescent="0.2">
      <c r="A12" s="43">
        <f>DATE(N6,K6,1)</f>
        <v>46174</v>
      </c>
      <c r="B12" s="4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3"/>
    </row>
    <row r="13" spans="1:67" ht="15.75" x14ac:dyDescent="0.2">
      <c r="A13" s="43">
        <f>A12+1</f>
        <v>46175</v>
      </c>
      <c r="B13" s="4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spans="1:67" ht="15.75" x14ac:dyDescent="0.2">
      <c r="A14" s="43">
        <f t="shared" ref="A14:A39" si="0">A13+1</f>
        <v>46176</v>
      </c>
      <c r="B14" s="4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15.75" x14ac:dyDescent="0.2">
      <c r="A15" s="43">
        <f t="shared" si="0"/>
        <v>46177</v>
      </c>
      <c r="B15" s="4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spans="1:67" ht="15.75" x14ac:dyDescent="0.2">
      <c r="A16" s="43">
        <f t="shared" si="0"/>
        <v>46178</v>
      </c>
      <c r="B16" s="4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67" ht="15.75" x14ac:dyDescent="0.2">
      <c r="A17" s="43">
        <f t="shared" si="0"/>
        <v>46179</v>
      </c>
      <c r="B17" s="4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spans="1:67" ht="15.75" x14ac:dyDescent="0.2">
      <c r="A18" s="43">
        <f t="shared" si="0"/>
        <v>46180</v>
      </c>
      <c r="B18" s="4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spans="1:67" ht="15.75" x14ac:dyDescent="0.2">
      <c r="A19" s="43">
        <f t="shared" si="0"/>
        <v>46181</v>
      </c>
      <c r="B19" s="4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spans="1:67" ht="15.75" x14ac:dyDescent="0.2">
      <c r="A20" s="43">
        <f t="shared" si="0"/>
        <v>46182</v>
      </c>
      <c r="B20" s="4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spans="1:67" ht="15.75" x14ac:dyDescent="0.2">
      <c r="A21" s="43">
        <f t="shared" si="0"/>
        <v>46183</v>
      </c>
      <c r="B21" s="4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spans="1:67" ht="15.75" x14ac:dyDescent="0.2">
      <c r="A22" s="43">
        <f t="shared" si="0"/>
        <v>46184</v>
      </c>
      <c r="B22" s="4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spans="1:67" ht="15.75" x14ac:dyDescent="0.2">
      <c r="A23" s="43">
        <f t="shared" si="0"/>
        <v>46185</v>
      </c>
      <c r="B23" s="4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spans="1:67" ht="15.75" x14ac:dyDescent="0.2">
      <c r="A24" s="43">
        <f t="shared" si="0"/>
        <v>46186</v>
      </c>
      <c r="B24" s="4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spans="1:67" ht="15.75" x14ac:dyDescent="0.2">
      <c r="A25" s="43">
        <f t="shared" si="0"/>
        <v>46187</v>
      </c>
      <c r="B25" s="4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spans="1:67" ht="15.75" x14ac:dyDescent="0.2">
      <c r="A26" s="43">
        <f t="shared" si="0"/>
        <v>46188</v>
      </c>
      <c r="B26" s="4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spans="1:67" ht="15.75" x14ac:dyDescent="0.2">
      <c r="A27" s="43">
        <f t="shared" si="0"/>
        <v>46189</v>
      </c>
      <c r="B27" s="4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spans="1:67" ht="15.75" x14ac:dyDescent="0.2">
      <c r="A28" s="43">
        <f t="shared" si="0"/>
        <v>46190</v>
      </c>
      <c r="B28" s="4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spans="1:67" ht="15.75" x14ac:dyDescent="0.2">
      <c r="A29" s="43">
        <f t="shared" si="0"/>
        <v>46191</v>
      </c>
      <c r="B29" s="4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spans="1:67" ht="15.75" x14ac:dyDescent="0.2">
      <c r="A30" s="43">
        <f t="shared" si="0"/>
        <v>46192</v>
      </c>
      <c r="B30" s="4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spans="1:67" ht="15.75" x14ac:dyDescent="0.2">
      <c r="A31" s="43">
        <f t="shared" si="0"/>
        <v>46193</v>
      </c>
      <c r="B31" s="4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spans="1:67" ht="15.75" x14ac:dyDescent="0.2">
      <c r="A32" s="43">
        <f t="shared" si="0"/>
        <v>46194</v>
      </c>
      <c r="B32" s="4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spans="1:67" ht="15.75" x14ac:dyDescent="0.2">
      <c r="A33" s="43">
        <f t="shared" si="0"/>
        <v>46195</v>
      </c>
      <c r="B33" s="4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spans="1:67" ht="15.75" x14ac:dyDescent="0.2">
      <c r="A34" s="43">
        <f>A33+1</f>
        <v>46196</v>
      </c>
      <c r="B34" s="4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spans="1:67" ht="15.75" x14ac:dyDescent="0.2">
      <c r="A35" s="43">
        <f t="shared" si="0"/>
        <v>46197</v>
      </c>
      <c r="B35" s="4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spans="1:67" ht="15.75" x14ac:dyDescent="0.2">
      <c r="A36" s="43">
        <f t="shared" si="0"/>
        <v>46198</v>
      </c>
      <c r="B36" s="4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spans="1:67" ht="15.75" x14ac:dyDescent="0.2">
      <c r="A37" s="43">
        <f t="shared" si="0"/>
        <v>46199</v>
      </c>
      <c r="B37" s="4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spans="1:67" ht="15.75" x14ac:dyDescent="0.2">
      <c r="A38" s="43">
        <f t="shared" si="0"/>
        <v>46200</v>
      </c>
      <c r="B38" s="4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spans="1:67" ht="15.75" x14ac:dyDescent="0.2">
      <c r="A39" s="43">
        <f t="shared" si="0"/>
        <v>46201</v>
      </c>
      <c r="B39" s="4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spans="1:67" ht="15.75" x14ac:dyDescent="0.2">
      <c r="A40" s="43">
        <f>IF(A39="","",IF(A39=EOMONTH(DATE($N$6,$K$6,1),0),"",A39+1))</f>
        <v>46202</v>
      </c>
      <c r="B40" s="4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spans="1:67" ht="15.75" x14ac:dyDescent="0.2">
      <c r="A41" s="43">
        <f>IF(A40="","",IF(A40=EOMONTH(DATE($N$6,$K$6,1),0),"",A40+1))</f>
        <v>46203</v>
      </c>
      <c r="B41" s="4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spans="1:67" ht="15.75" x14ac:dyDescent="0.2">
      <c r="A42" s="43" t="str">
        <f>IF(A41="","",IF(A41=EOMONTH(DATE($N$6,$K$6,1),0),"",A41+1))</f>
        <v/>
      </c>
      <c r="B42" s="4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spans="1:67" ht="13.5" x14ac:dyDescent="0.25">
      <c r="A43" s="14" t="s">
        <v>207</v>
      </c>
      <c r="B43" s="45" t="s">
        <v>208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</row>
    <row r="44" spans="1:67" x14ac:dyDescent="0.2">
      <c r="A44" s="16"/>
      <c r="B44" s="15" t="s">
        <v>209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 t="s">
        <v>210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7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N25" sqref="N25"/>
    </sheetView>
  </sheetViews>
  <sheetFormatPr defaultRowHeight="12.75" x14ac:dyDescent="0.2"/>
  <cols>
    <col min="1" max="2" width="23.5" bestFit="1" customWidth="1"/>
    <col min="3" max="3" width="35.6640625" bestFit="1" customWidth="1"/>
    <col min="4" max="4" width="36.33203125" bestFit="1" customWidth="1"/>
    <col min="5" max="5" width="31.6640625" bestFit="1" customWidth="1"/>
    <col min="6" max="6" width="31.83203125" bestFit="1" customWidth="1"/>
    <col min="7" max="7" width="25.83203125" bestFit="1" customWidth="1"/>
    <col min="8" max="8" width="27.5" bestFit="1" customWidth="1"/>
    <col min="9" max="9" width="25.33203125" bestFit="1" customWidth="1"/>
    <col min="10" max="10" width="22.83203125" bestFit="1" customWidth="1"/>
    <col min="11" max="11" width="35.33203125" bestFit="1" customWidth="1"/>
    <col min="12" max="12" width="22.83203125" bestFit="1" customWidth="1"/>
    <col min="13" max="13" width="30.1640625" bestFit="1" customWidth="1"/>
    <col min="14" max="14" width="38.5" bestFit="1" customWidth="1"/>
    <col min="15" max="15" width="41.6640625" bestFit="1" customWidth="1"/>
    <col min="16" max="16" width="28.33203125" bestFit="1" customWidth="1"/>
    <col min="17" max="17" width="40.1640625" bestFit="1" customWidth="1"/>
    <col min="18" max="18" width="31.33203125" bestFit="1" customWidth="1"/>
    <col min="19" max="19" width="40.6640625" bestFit="1" customWidth="1"/>
    <col min="20" max="20" width="36.33203125" bestFit="1" customWidth="1"/>
    <col min="21" max="21" width="39.6640625" bestFit="1" customWidth="1"/>
    <col min="22" max="22" width="43.33203125" bestFit="1" customWidth="1"/>
    <col min="23" max="23" width="31.33203125" bestFit="1" customWidth="1"/>
    <col min="24" max="24" width="30.1640625" bestFit="1" customWidth="1"/>
    <col min="25" max="25" width="32.83203125" bestFit="1" customWidth="1"/>
    <col min="26" max="26" width="37" bestFit="1" customWidth="1"/>
    <col min="27" max="27" width="28.5" bestFit="1" customWidth="1"/>
    <col min="28" max="28" width="42.33203125" bestFit="1" customWidth="1"/>
    <col min="29" max="29" width="40.1640625" bestFit="1" customWidth="1"/>
    <col min="30" max="30" width="32.83203125" bestFit="1" customWidth="1"/>
    <col min="31" max="31" width="44" bestFit="1" customWidth="1"/>
    <col min="32" max="32" width="40.83203125" bestFit="1" customWidth="1"/>
    <col min="33" max="33" width="23" bestFit="1" customWidth="1"/>
    <col min="34" max="34" width="29.1640625" bestFit="1" customWidth="1"/>
    <col min="35" max="35" width="36.83203125" bestFit="1" customWidth="1"/>
    <col min="36" max="36" width="42.5" bestFit="1" customWidth="1"/>
    <col min="37" max="37" width="40.6640625" bestFit="1" customWidth="1"/>
    <col min="38" max="38" width="37.5" bestFit="1" customWidth="1"/>
    <col min="39" max="39" width="32.5" bestFit="1" customWidth="1"/>
    <col min="40" max="40" width="30.6640625" bestFit="1" customWidth="1"/>
    <col min="41" max="41" width="25.1640625" bestFit="1" customWidth="1"/>
    <col min="42" max="42" width="30" bestFit="1" customWidth="1"/>
    <col min="43" max="43" width="30.1640625" bestFit="1" customWidth="1"/>
    <col min="44" max="44" width="27.33203125" bestFit="1" customWidth="1"/>
    <col min="45" max="45" width="29" bestFit="1" customWidth="1"/>
    <col min="46" max="46" width="44.6640625" bestFit="1" customWidth="1"/>
    <col min="47" max="47" width="45.83203125" bestFit="1" customWidth="1"/>
    <col min="48" max="48" width="29.6640625" bestFit="1" customWidth="1"/>
    <col min="49" max="49" width="30.1640625" bestFit="1" customWidth="1"/>
    <col min="50" max="51" width="24.6640625" bestFit="1" customWidth="1"/>
    <col min="52" max="52" width="31.33203125" bestFit="1" customWidth="1"/>
    <col min="53" max="53" width="32.83203125" bestFit="1" customWidth="1"/>
    <col min="54" max="54" width="43.33203125" bestFit="1" customWidth="1"/>
    <col min="55" max="55" width="30.1640625" bestFit="1" customWidth="1"/>
    <col min="56" max="56" width="36.33203125" bestFit="1" customWidth="1"/>
    <col min="57" max="57" width="17.5" bestFit="1" customWidth="1"/>
    <col min="58" max="58" width="33.6640625" bestFit="1" customWidth="1"/>
    <col min="59" max="59" width="41.33203125" bestFit="1" customWidth="1"/>
    <col min="60" max="60" width="6.83203125" bestFit="1" customWidth="1"/>
    <col min="61" max="61" width="28.6640625" bestFit="1" customWidth="1"/>
    <col min="62" max="62" width="29.1640625" bestFit="1" customWidth="1"/>
    <col min="63" max="63" width="28" bestFit="1" customWidth="1"/>
    <col min="64" max="64" width="28.6640625" bestFit="1" customWidth="1"/>
    <col min="65" max="65" width="38" bestFit="1" customWidth="1"/>
    <col min="66" max="66" width="35" bestFit="1" customWidth="1"/>
    <col min="67" max="67" width="14.6640625" bestFit="1" customWidth="1"/>
  </cols>
  <sheetData>
    <row r="1" spans="1:67" x14ac:dyDescent="0.2">
      <c r="A1" s="17" t="s">
        <v>0</v>
      </c>
      <c r="B1" s="1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7" t="s">
        <v>2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9"/>
    </row>
    <row r="2" spans="1:67" x14ac:dyDescent="0.2">
      <c r="A2" s="17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7" t="s">
        <v>3</v>
      </c>
      <c r="O2" s="28"/>
      <c r="P2" s="29"/>
      <c r="Q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9"/>
      <c r="BO2" s="1" t="s">
        <v>4</v>
      </c>
    </row>
    <row r="3" spans="1:67" x14ac:dyDescent="0.2">
      <c r="A3" s="17"/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6"/>
      <c r="N3" s="27" t="s">
        <v>5</v>
      </c>
      <c r="O3" s="28"/>
      <c r="P3" s="29"/>
      <c r="Q3" s="2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9"/>
      <c r="BO3" s="1" t="s">
        <v>6</v>
      </c>
    </row>
    <row r="4" spans="1:67" x14ac:dyDescent="0.2">
      <c r="A4" s="30" t="s">
        <v>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2"/>
    </row>
    <row r="5" spans="1:67" ht="18.75" x14ac:dyDescent="0.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7</v>
      </c>
      <c r="L6" s="3"/>
      <c r="M6" s="3" t="s">
        <v>10</v>
      </c>
      <c r="N6" s="34">
        <v>2026</v>
      </c>
      <c r="O6" s="3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5" t="s">
        <v>11</v>
      </c>
      <c r="B8" s="37" t="s">
        <v>12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0" t="s">
        <v>13</v>
      </c>
    </row>
    <row r="9" spans="1:67" x14ac:dyDescent="0.2">
      <c r="A9" s="35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41"/>
    </row>
    <row r="10" spans="1:67" ht="15" x14ac:dyDescent="0.25">
      <c r="A10" s="35"/>
      <c r="B10" s="6" t="s">
        <v>79</v>
      </c>
      <c r="C10" s="7" t="s">
        <v>80</v>
      </c>
      <c r="D10" s="7" t="s">
        <v>81</v>
      </c>
      <c r="E10" s="8" t="s">
        <v>82</v>
      </c>
      <c r="F10" s="8" t="s">
        <v>83</v>
      </c>
      <c r="G10" s="8" t="s">
        <v>84</v>
      </c>
      <c r="H10" s="8" t="s">
        <v>85</v>
      </c>
      <c r="I10" s="7" t="s">
        <v>86</v>
      </c>
      <c r="J10" s="8" t="s">
        <v>87</v>
      </c>
      <c r="K10" s="8" t="s">
        <v>88</v>
      </c>
      <c r="L10" s="8" t="s">
        <v>89</v>
      </c>
      <c r="M10" s="8" t="s">
        <v>90</v>
      </c>
      <c r="N10" s="8" t="s">
        <v>91</v>
      </c>
      <c r="O10" s="8" t="s">
        <v>92</v>
      </c>
      <c r="P10" s="8" t="s">
        <v>93</v>
      </c>
      <c r="Q10" s="8" t="s">
        <v>94</v>
      </c>
      <c r="R10" s="8" t="s">
        <v>95</v>
      </c>
      <c r="S10" s="9" t="s">
        <v>96</v>
      </c>
      <c r="T10" s="8" t="s">
        <v>97</v>
      </c>
      <c r="U10" s="8" t="s">
        <v>98</v>
      </c>
      <c r="V10" s="8" t="s">
        <v>99</v>
      </c>
      <c r="W10" s="8" t="s">
        <v>100</v>
      </c>
      <c r="X10" s="8" t="s">
        <v>101</v>
      </c>
      <c r="Y10" s="8" t="s">
        <v>102</v>
      </c>
      <c r="Z10" s="8" t="s">
        <v>103</v>
      </c>
      <c r="AA10" s="8" t="s">
        <v>104</v>
      </c>
      <c r="AB10" s="8" t="s">
        <v>105</v>
      </c>
      <c r="AC10" s="8" t="s">
        <v>106</v>
      </c>
      <c r="AD10" s="8" t="s">
        <v>107</v>
      </c>
      <c r="AE10" s="8" t="s">
        <v>108</v>
      </c>
      <c r="AF10" s="8" t="s">
        <v>109</v>
      </c>
      <c r="AG10" s="8" t="s">
        <v>110</v>
      </c>
      <c r="AH10" s="8" t="s">
        <v>111</v>
      </c>
      <c r="AI10" s="8" t="s">
        <v>112</v>
      </c>
      <c r="AJ10" s="8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8" t="s">
        <v>123</v>
      </c>
      <c r="AU10" s="8" t="s">
        <v>124</v>
      </c>
      <c r="AV10" s="8" t="s">
        <v>125</v>
      </c>
      <c r="AW10" s="8" t="s">
        <v>126</v>
      </c>
      <c r="AX10" s="8" t="s">
        <v>127</v>
      </c>
      <c r="AY10" s="8" t="s">
        <v>128</v>
      </c>
      <c r="AZ10" s="7" t="s">
        <v>129</v>
      </c>
      <c r="BA10" s="7" t="s">
        <v>130</v>
      </c>
      <c r="BB10" s="7" t="s">
        <v>131</v>
      </c>
      <c r="BC10" s="7" t="s">
        <v>132</v>
      </c>
      <c r="BD10" s="7" t="s">
        <v>133</v>
      </c>
      <c r="BE10" s="7" t="s">
        <v>134</v>
      </c>
      <c r="BF10" s="7" t="s">
        <v>135</v>
      </c>
      <c r="BG10" s="7" t="s">
        <v>136</v>
      </c>
      <c r="BH10" s="8"/>
      <c r="BI10" s="8" t="s">
        <v>137</v>
      </c>
      <c r="BJ10" s="8" t="s">
        <v>138</v>
      </c>
      <c r="BK10" s="8" t="s">
        <v>139</v>
      </c>
      <c r="BL10" s="8" t="s">
        <v>140</v>
      </c>
      <c r="BM10" s="8" t="s">
        <v>141</v>
      </c>
      <c r="BN10" s="8" t="s">
        <v>142</v>
      </c>
      <c r="BO10" s="41"/>
    </row>
    <row r="11" spans="1:67" x14ac:dyDescent="0.2">
      <c r="A11" s="36"/>
      <c r="B11" s="6" t="s">
        <v>143</v>
      </c>
      <c r="C11" s="10" t="s">
        <v>144</v>
      </c>
      <c r="D11" s="10" t="s">
        <v>145</v>
      </c>
      <c r="E11" s="10" t="s">
        <v>146</v>
      </c>
      <c r="F11" s="10" t="s">
        <v>147</v>
      </c>
      <c r="G11" s="10" t="s">
        <v>148</v>
      </c>
      <c r="H11" s="10" t="s">
        <v>149</v>
      </c>
      <c r="I11" s="10" t="s">
        <v>150</v>
      </c>
      <c r="J11" s="10" t="s">
        <v>151</v>
      </c>
      <c r="K11" s="10" t="s">
        <v>152</v>
      </c>
      <c r="L11" s="10" t="s">
        <v>153</v>
      </c>
      <c r="M11" s="10" t="s">
        <v>154</v>
      </c>
      <c r="N11" s="10" t="s">
        <v>155</v>
      </c>
      <c r="O11" s="10" t="s">
        <v>156</v>
      </c>
      <c r="P11" s="10" t="s">
        <v>157</v>
      </c>
      <c r="Q11" s="10" t="s">
        <v>158</v>
      </c>
      <c r="R11" s="10" t="s">
        <v>159</v>
      </c>
      <c r="S11" s="10" t="s">
        <v>160</v>
      </c>
      <c r="T11" s="10" t="s">
        <v>161</v>
      </c>
      <c r="U11" s="10" t="s">
        <v>162</v>
      </c>
      <c r="V11" s="10" t="s">
        <v>163</v>
      </c>
      <c r="W11" s="10" t="s">
        <v>164</v>
      </c>
      <c r="X11" s="10" t="s">
        <v>165</v>
      </c>
      <c r="Y11" s="10" t="s">
        <v>166</v>
      </c>
      <c r="Z11" s="10" t="s">
        <v>167</v>
      </c>
      <c r="AA11" s="10" t="s">
        <v>168</v>
      </c>
      <c r="AB11" s="10" t="s">
        <v>169</v>
      </c>
      <c r="AC11" s="10" t="s">
        <v>170</v>
      </c>
      <c r="AD11" s="10" t="s">
        <v>171</v>
      </c>
      <c r="AE11" s="10" t="s">
        <v>172</v>
      </c>
      <c r="AF11" s="10" t="s">
        <v>173</v>
      </c>
      <c r="AG11" s="10" t="s">
        <v>174</v>
      </c>
      <c r="AH11" s="10" t="s">
        <v>175</v>
      </c>
      <c r="AI11" s="10" t="s">
        <v>176</v>
      </c>
      <c r="AJ11" s="10" t="s">
        <v>177</v>
      </c>
      <c r="AK11" s="10" t="s">
        <v>178</v>
      </c>
      <c r="AL11" s="10" t="s">
        <v>179</v>
      </c>
      <c r="AM11" s="10" t="s">
        <v>180</v>
      </c>
      <c r="AN11" s="10" t="s">
        <v>181</v>
      </c>
      <c r="AO11" s="10" t="s">
        <v>182</v>
      </c>
      <c r="AP11" s="10" t="s">
        <v>183</v>
      </c>
      <c r="AQ11" s="10" t="s">
        <v>184</v>
      </c>
      <c r="AR11" s="10" t="s">
        <v>185</v>
      </c>
      <c r="AS11" s="10" t="s">
        <v>186</v>
      </c>
      <c r="AT11" s="10" t="s">
        <v>187</v>
      </c>
      <c r="AU11" s="10" t="s">
        <v>188</v>
      </c>
      <c r="AV11" s="10" t="s">
        <v>189</v>
      </c>
      <c r="AW11" s="10" t="s">
        <v>190</v>
      </c>
      <c r="AX11" s="10" t="s">
        <v>191</v>
      </c>
      <c r="AY11" s="10" t="s">
        <v>192</v>
      </c>
      <c r="AZ11" s="10" t="s">
        <v>193</v>
      </c>
      <c r="BA11" s="10" t="s">
        <v>194</v>
      </c>
      <c r="BB11" s="10" t="s">
        <v>195</v>
      </c>
      <c r="BC11" s="10" t="s">
        <v>196</v>
      </c>
      <c r="BD11" s="10" t="s">
        <v>197</v>
      </c>
      <c r="BE11" s="10" t="s">
        <v>198</v>
      </c>
      <c r="BF11" s="10" t="s">
        <v>199</v>
      </c>
      <c r="BG11" s="10" t="s">
        <v>200</v>
      </c>
      <c r="BH11" s="10"/>
      <c r="BI11" s="10" t="s">
        <v>201</v>
      </c>
      <c r="BJ11" s="10" t="s">
        <v>202</v>
      </c>
      <c r="BK11" s="10" t="s">
        <v>203</v>
      </c>
      <c r="BL11" s="10" t="s">
        <v>204</v>
      </c>
      <c r="BM11" s="10" t="s">
        <v>205</v>
      </c>
      <c r="BN11" s="11" t="s">
        <v>206</v>
      </c>
      <c r="BO11" s="42"/>
    </row>
    <row r="12" spans="1:67" ht="15.75" x14ac:dyDescent="0.2">
      <c r="A12" s="43">
        <f>DATE(N6,K6,1)</f>
        <v>46204</v>
      </c>
      <c r="B12" s="4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3"/>
    </row>
    <row r="13" spans="1:67" ht="15.75" x14ac:dyDescent="0.2">
      <c r="A13" s="43">
        <f>A12+1</f>
        <v>46205</v>
      </c>
      <c r="B13" s="4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spans="1:67" ht="15.75" x14ac:dyDescent="0.2">
      <c r="A14" s="43">
        <f t="shared" ref="A14:A39" si="0">A13+1</f>
        <v>46206</v>
      </c>
      <c r="B14" s="4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15.75" x14ac:dyDescent="0.2">
      <c r="A15" s="43">
        <f t="shared" si="0"/>
        <v>46207</v>
      </c>
      <c r="B15" s="4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spans="1:67" ht="15.75" x14ac:dyDescent="0.2">
      <c r="A16" s="43">
        <f t="shared" si="0"/>
        <v>46208</v>
      </c>
      <c r="B16" s="4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67" ht="15.75" x14ac:dyDescent="0.2">
      <c r="A17" s="43">
        <f t="shared" si="0"/>
        <v>46209</v>
      </c>
      <c r="B17" s="4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spans="1:67" ht="15.75" x14ac:dyDescent="0.2">
      <c r="A18" s="43">
        <f t="shared" si="0"/>
        <v>46210</v>
      </c>
      <c r="B18" s="4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spans="1:67" ht="15.75" x14ac:dyDescent="0.2">
      <c r="A19" s="43">
        <f t="shared" si="0"/>
        <v>46211</v>
      </c>
      <c r="B19" s="4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spans="1:67" ht="15.75" x14ac:dyDescent="0.2">
      <c r="A20" s="43">
        <f t="shared" si="0"/>
        <v>46212</v>
      </c>
      <c r="B20" s="4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spans="1:67" ht="15.75" x14ac:dyDescent="0.2">
      <c r="A21" s="43">
        <f t="shared" si="0"/>
        <v>46213</v>
      </c>
      <c r="B21" s="4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spans="1:67" ht="15.75" x14ac:dyDescent="0.2">
      <c r="A22" s="43">
        <f t="shared" si="0"/>
        <v>46214</v>
      </c>
      <c r="B22" s="4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spans="1:67" ht="15.75" x14ac:dyDescent="0.2">
      <c r="A23" s="43">
        <f t="shared" si="0"/>
        <v>46215</v>
      </c>
      <c r="B23" s="4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spans="1:67" ht="15.75" x14ac:dyDescent="0.2">
      <c r="A24" s="43">
        <f t="shared" si="0"/>
        <v>46216</v>
      </c>
      <c r="B24" s="4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spans="1:67" ht="15.75" x14ac:dyDescent="0.2">
      <c r="A25" s="43">
        <f t="shared" si="0"/>
        <v>46217</v>
      </c>
      <c r="B25" s="4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spans="1:67" ht="15.75" x14ac:dyDescent="0.2">
      <c r="A26" s="43">
        <f t="shared" si="0"/>
        <v>46218</v>
      </c>
      <c r="B26" s="4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spans="1:67" ht="15.75" x14ac:dyDescent="0.2">
      <c r="A27" s="43">
        <f t="shared" si="0"/>
        <v>46219</v>
      </c>
      <c r="B27" s="4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spans="1:67" ht="15.75" x14ac:dyDescent="0.2">
      <c r="A28" s="43">
        <f t="shared" si="0"/>
        <v>46220</v>
      </c>
      <c r="B28" s="4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spans="1:67" ht="15.75" x14ac:dyDescent="0.2">
      <c r="A29" s="43">
        <f t="shared" si="0"/>
        <v>46221</v>
      </c>
      <c r="B29" s="4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spans="1:67" ht="15.75" x14ac:dyDescent="0.2">
      <c r="A30" s="43">
        <f t="shared" si="0"/>
        <v>46222</v>
      </c>
      <c r="B30" s="4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spans="1:67" ht="15.75" x14ac:dyDescent="0.2">
      <c r="A31" s="43">
        <f t="shared" si="0"/>
        <v>46223</v>
      </c>
      <c r="B31" s="4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spans="1:67" ht="15.75" x14ac:dyDescent="0.2">
      <c r="A32" s="43">
        <f t="shared" si="0"/>
        <v>46224</v>
      </c>
      <c r="B32" s="4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spans="1:67" ht="15.75" x14ac:dyDescent="0.2">
      <c r="A33" s="43">
        <f t="shared" si="0"/>
        <v>46225</v>
      </c>
      <c r="B33" s="4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spans="1:67" ht="15.75" x14ac:dyDescent="0.2">
      <c r="A34" s="43">
        <f>A33+1</f>
        <v>46226</v>
      </c>
      <c r="B34" s="4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spans="1:67" ht="15.75" x14ac:dyDescent="0.2">
      <c r="A35" s="43">
        <f t="shared" si="0"/>
        <v>46227</v>
      </c>
      <c r="B35" s="4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spans="1:67" ht="15.75" x14ac:dyDescent="0.2">
      <c r="A36" s="43">
        <f t="shared" si="0"/>
        <v>46228</v>
      </c>
      <c r="B36" s="4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spans="1:67" ht="15.75" x14ac:dyDescent="0.2">
      <c r="A37" s="43">
        <f t="shared" si="0"/>
        <v>46229</v>
      </c>
      <c r="B37" s="4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spans="1:67" ht="15.75" x14ac:dyDescent="0.2">
      <c r="A38" s="43">
        <f t="shared" si="0"/>
        <v>46230</v>
      </c>
      <c r="B38" s="4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spans="1:67" ht="15.75" x14ac:dyDescent="0.2">
      <c r="A39" s="43">
        <f t="shared" si="0"/>
        <v>46231</v>
      </c>
      <c r="B39" s="4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spans="1:67" ht="15.75" x14ac:dyDescent="0.2">
      <c r="A40" s="43">
        <f>IF(A39="","",IF(A39=EOMONTH(DATE($N$6,$K$6,1),0),"",A39+1))</f>
        <v>46232</v>
      </c>
      <c r="B40" s="4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spans="1:67" ht="15.75" x14ac:dyDescent="0.2">
      <c r="A41" s="43">
        <f>IF(A40="","",IF(A40=EOMONTH(DATE($N$6,$K$6,1),0),"",A40+1))</f>
        <v>46233</v>
      </c>
      <c r="B41" s="4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spans="1:67" ht="15.75" x14ac:dyDescent="0.2">
      <c r="A42" s="43">
        <f>IF(A41="","",IF(A41=EOMONTH(DATE($N$6,$K$6,1),0),"",A41+1))</f>
        <v>46234</v>
      </c>
      <c r="B42" s="4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spans="1:67" ht="13.5" x14ac:dyDescent="0.25">
      <c r="A43" s="14" t="s">
        <v>207</v>
      </c>
      <c r="B43" s="45" t="s">
        <v>208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</row>
    <row r="44" spans="1:67" x14ac:dyDescent="0.2">
      <c r="A44" s="16"/>
      <c r="B44" s="15" t="s">
        <v>209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 t="s">
        <v>210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1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K31" sqref="K31"/>
    </sheetView>
  </sheetViews>
  <sheetFormatPr defaultRowHeight="12.75" x14ac:dyDescent="0.2"/>
  <cols>
    <col min="1" max="2" width="23.5" bestFit="1" customWidth="1"/>
    <col min="3" max="3" width="35.6640625" bestFit="1" customWidth="1"/>
    <col min="4" max="4" width="36.33203125" bestFit="1" customWidth="1"/>
    <col min="5" max="5" width="31.6640625" bestFit="1" customWidth="1"/>
    <col min="6" max="6" width="31.83203125" bestFit="1" customWidth="1"/>
    <col min="7" max="7" width="25.83203125" bestFit="1" customWidth="1"/>
    <col min="8" max="8" width="27.5" bestFit="1" customWidth="1"/>
    <col min="9" max="9" width="25.33203125" bestFit="1" customWidth="1"/>
    <col min="10" max="10" width="22.83203125" bestFit="1" customWidth="1"/>
    <col min="11" max="11" width="35.33203125" bestFit="1" customWidth="1"/>
    <col min="12" max="12" width="22.83203125" bestFit="1" customWidth="1"/>
    <col min="13" max="13" width="30.1640625" bestFit="1" customWidth="1"/>
    <col min="14" max="14" width="38.5" bestFit="1" customWidth="1"/>
    <col min="15" max="15" width="41.6640625" bestFit="1" customWidth="1"/>
    <col min="16" max="16" width="28.33203125" bestFit="1" customWidth="1"/>
    <col min="17" max="17" width="40.1640625" bestFit="1" customWidth="1"/>
    <col min="18" max="18" width="31.33203125" bestFit="1" customWidth="1"/>
    <col min="19" max="19" width="40.6640625" bestFit="1" customWidth="1"/>
    <col min="20" max="20" width="36.33203125" bestFit="1" customWidth="1"/>
    <col min="21" max="21" width="39.6640625" bestFit="1" customWidth="1"/>
    <col min="22" max="22" width="43.33203125" bestFit="1" customWidth="1"/>
    <col min="23" max="23" width="31.33203125" bestFit="1" customWidth="1"/>
    <col min="24" max="24" width="30.1640625" bestFit="1" customWidth="1"/>
    <col min="25" max="25" width="32.83203125" bestFit="1" customWidth="1"/>
    <col min="26" max="26" width="37" bestFit="1" customWidth="1"/>
    <col min="27" max="27" width="28.5" bestFit="1" customWidth="1"/>
    <col min="28" max="28" width="42.33203125" bestFit="1" customWidth="1"/>
    <col min="29" max="29" width="40.1640625" bestFit="1" customWidth="1"/>
    <col min="30" max="30" width="32.83203125" bestFit="1" customWidth="1"/>
    <col min="31" max="31" width="44" bestFit="1" customWidth="1"/>
    <col min="32" max="32" width="40.83203125" bestFit="1" customWidth="1"/>
    <col min="33" max="33" width="23" bestFit="1" customWidth="1"/>
    <col min="34" max="34" width="29.1640625" bestFit="1" customWidth="1"/>
    <col min="35" max="35" width="36.83203125" bestFit="1" customWidth="1"/>
    <col min="36" max="36" width="42.5" bestFit="1" customWidth="1"/>
    <col min="37" max="37" width="40.6640625" bestFit="1" customWidth="1"/>
    <col min="38" max="38" width="37.5" bestFit="1" customWidth="1"/>
    <col min="39" max="39" width="32.5" bestFit="1" customWidth="1"/>
    <col min="40" max="40" width="30.6640625" bestFit="1" customWidth="1"/>
    <col min="41" max="41" width="25.1640625" bestFit="1" customWidth="1"/>
    <col min="42" max="42" width="30" bestFit="1" customWidth="1"/>
    <col min="43" max="43" width="30.1640625" bestFit="1" customWidth="1"/>
    <col min="44" max="44" width="27.33203125" bestFit="1" customWidth="1"/>
    <col min="45" max="45" width="29" bestFit="1" customWidth="1"/>
    <col min="46" max="46" width="44.6640625" bestFit="1" customWidth="1"/>
    <col min="47" max="47" width="45.83203125" bestFit="1" customWidth="1"/>
    <col min="48" max="48" width="29.6640625" bestFit="1" customWidth="1"/>
    <col min="49" max="49" width="30.1640625" bestFit="1" customWidth="1"/>
    <col min="50" max="51" width="24.6640625" bestFit="1" customWidth="1"/>
    <col min="52" max="52" width="31.33203125" bestFit="1" customWidth="1"/>
    <col min="53" max="53" width="32.83203125" bestFit="1" customWidth="1"/>
    <col min="54" max="54" width="43.33203125" bestFit="1" customWidth="1"/>
    <col min="55" max="55" width="30.1640625" bestFit="1" customWidth="1"/>
    <col min="56" max="56" width="36.33203125" bestFit="1" customWidth="1"/>
    <col min="57" max="57" width="17.5" bestFit="1" customWidth="1"/>
    <col min="58" max="58" width="33.6640625" bestFit="1" customWidth="1"/>
    <col min="59" max="59" width="41.33203125" bestFit="1" customWidth="1"/>
    <col min="60" max="60" width="6.83203125" bestFit="1" customWidth="1"/>
    <col min="61" max="61" width="28.6640625" bestFit="1" customWidth="1"/>
    <col min="62" max="62" width="29.1640625" bestFit="1" customWidth="1"/>
    <col min="63" max="63" width="28" bestFit="1" customWidth="1"/>
    <col min="64" max="64" width="28.6640625" bestFit="1" customWidth="1"/>
    <col min="65" max="65" width="38" bestFit="1" customWidth="1"/>
    <col min="66" max="66" width="35" bestFit="1" customWidth="1"/>
    <col min="67" max="67" width="14.6640625" bestFit="1" customWidth="1"/>
  </cols>
  <sheetData>
    <row r="1" spans="1:67" x14ac:dyDescent="0.2">
      <c r="A1" s="17" t="s">
        <v>0</v>
      </c>
      <c r="B1" s="1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7" t="s">
        <v>2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9"/>
    </row>
    <row r="2" spans="1:67" x14ac:dyDescent="0.2">
      <c r="A2" s="17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7" t="s">
        <v>3</v>
      </c>
      <c r="O2" s="28"/>
      <c r="P2" s="29"/>
      <c r="Q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9"/>
      <c r="BO2" s="1" t="s">
        <v>4</v>
      </c>
    </row>
    <row r="3" spans="1:67" x14ac:dyDescent="0.2">
      <c r="A3" s="17"/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6"/>
      <c r="N3" s="27" t="s">
        <v>5</v>
      </c>
      <c r="O3" s="28"/>
      <c r="P3" s="29"/>
      <c r="Q3" s="2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9"/>
      <c r="BO3" s="1" t="s">
        <v>6</v>
      </c>
    </row>
    <row r="4" spans="1:67" x14ac:dyDescent="0.2">
      <c r="A4" s="30" t="s">
        <v>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2"/>
    </row>
    <row r="5" spans="1:67" ht="18.75" x14ac:dyDescent="0.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8</v>
      </c>
      <c r="L6" s="3"/>
      <c r="M6" s="3" t="s">
        <v>10</v>
      </c>
      <c r="N6" s="34">
        <v>2026</v>
      </c>
      <c r="O6" s="3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5" t="s">
        <v>11</v>
      </c>
      <c r="B8" s="37" t="s">
        <v>12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0" t="s">
        <v>13</v>
      </c>
    </row>
    <row r="9" spans="1:67" x14ac:dyDescent="0.2">
      <c r="A9" s="35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41"/>
    </row>
    <row r="10" spans="1:67" ht="15" x14ac:dyDescent="0.25">
      <c r="A10" s="35"/>
      <c r="B10" s="6" t="s">
        <v>79</v>
      </c>
      <c r="C10" s="7" t="s">
        <v>80</v>
      </c>
      <c r="D10" s="7" t="s">
        <v>81</v>
      </c>
      <c r="E10" s="8" t="s">
        <v>82</v>
      </c>
      <c r="F10" s="8" t="s">
        <v>83</v>
      </c>
      <c r="G10" s="8" t="s">
        <v>84</v>
      </c>
      <c r="H10" s="8" t="s">
        <v>85</v>
      </c>
      <c r="I10" s="7" t="s">
        <v>86</v>
      </c>
      <c r="J10" s="8" t="s">
        <v>87</v>
      </c>
      <c r="K10" s="8" t="s">
        <v>88</v>
      </c>
      <c r="L10" s="8" t="s">
        <v>89</v>
      </c>
      <c r="M10" s="8" t="s">
        <v>90</v>
      </c>
      <c r="N10" s="8" t="s">
        <v>91</v>
      </c>
      <c r="O10" s="8" t="s">
        <v>92</v>
      </c>
      <c r="P10" s="8" t="s">
        <v>93</v>
      </c>
      <c r="Q10" s="8" t="s">
        <v>94</v>
      </c>
      <c r="R10" s="8" t="s">
        <v>95</v>
      </c>
      <c r="S10" s="9" t="s">
        <v>96</v>
      </c>
      <c r="T10" s="8" t="s">
        <v>97</v>
      </c>
      <c r="U10" s="8" t="s">
        <v>98</v>
      </c>
      <c r="V10" s="8" t="s">
        <v>99</v>
      </c>
      <c r="W10" s="8" t="s">
        <v>100</v>
      </c>
      <c r="X10" s="8" t="s">
        <v>101</v>
      </c>
      <c r="Y10" s="8" t="s">
        <v>102</v>
      </c>
      <c r="Z10" s="8" t="s">
        <v>103</v>
      </c>
      <c r="AA10" s="8" t="s">
        <v>104</v>
      </c>
      <c r="AB10" s="8" t="s">
        <v>105</v>
      </c>
      <c r="AC10" s="8" t="s">
        <v>106</v>
      </c>
      <c r="AD10" s="8" t="s">
        <v>107</v>
      </c>
      <c r="AE10" s="8" t="s">
        <v>108</v>
      </c>
      <c r="AF10" s="8" t="s">
        <v>109</v>
      </c>
      <c r="AG10" s="8" t="s">
        <v>110</v>
      </c>
      <c r="AH10" s="8" t="s">
        <v>111</v>
      </c>
      <c r="AI10" s="8" t="s">
        <v>112</v>
      </c>
      <c r="AJ10" s="8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8" t="s">
        <v>123</v>
      </c>
      <c r="AU10" s="8" t="s">
        <v>124</v>
      </c>
      <c r="AV10" s="8" t="s">
        <v>125</v>
      </c>
      <c r="AW10" s="8" t="s">
        <v>126</v>
      </c>
      <c r="AX10" s="8" t="s">
        <v>127</v>
      </c>
      <c r="AY10" s="8" t="s">
        <v>128</v>
      </c>
      <c r="AZ10" s="7" t="s">
        <v>129</v>
      </c>
      <c r="BA10" s="7" t="s">
        <v>130</v>
      </c>
      <c r="BB10" s="7" t="s">
        <v>131</v>
      </c>
      <c r="BC10" s="7" t="s">
        <v>132</v>
      </c>
      <c r="BD10" s="7" t="s">
        <v>133</v>
      </c>
      <c r="BE10" s="7" t="s">
        <v>134</v>
      </c>
      <c r="BF10" s="7" t="s">
        <v>135</v>
      </c>
      <c r="BG10" s="7" t="s">
        <v>136</v>
      </c>
      <c r="BH10" s="8"/>
      <c r="BI10" s="8" t="s">
        <v>137</v>
      </c>
      <c r="BJ10" s="8" t="s">
        <v>138</v>
      </c>
      <c r="BK10" s="8" t="s">
        <v>139</v>
      </c>
      <c r="BL10" s="8" t="s">
        <v>140</v>
      </c>
      <c r="BM10" s="8" t="s">
        <v>141</v>
      </c>
      <c r="BN10" s="8" t="s">
        <v>142</v>
      </c>
      <c r="BO10" s="41"/>
    </row>
    <row r="11" spans="1:67" x14ac:dyDescent="0.2">
      <c r="A11" s="36"/>
      <c r="B11" s="6" t="s">
        <v>143</v>
      </c>
      <c r="C11" s="10" t="s">
        <v>144</v>
      </c>
      <c r="D11" s="10" t="s">
        <v>145</v>
      </c>
      <c r="E11" s="10" t="s">
        <v>146</v>
      </c>
      <c r="F11" s="10" t="s">
        <v>147</v>
      </c>
      <c r="G11" s="10" t="s">
        <v>148</v>
      </c>
      <c r="H11" s="10" t="s">
        <v>149</v>
      </c>
      <c r="I11" s="10" t="s">
        <v>150</v>
      </c>
      <c r="J11" s="10" t="s">
        <v>151</v>
      </c>
      <c r="K11" s="10" t="s">
        <v>152</v>
      </c>
      <c r="L11" s="10" t="s">
        <v>153</v>
      </c>
      <c r="M11" s="10" t="s">
        <v>154</v>
      </c>
      <c r="N11" s="10" t="s">
        <v>155</v>
      </c>
      <c r="O11" s="10" t="s">
        <v>156</v>
      </c>
      <c r="P11" s="10" t="s">
        <v>157</v>
      </c>
      <c r="Q11" s="10" t="s">
        <v>158</v>
      </c>
      <c r="R11" s="10" t="s">
        <v>159</v>
      </c>
      <c r="S11" s="10" t="s">
        <v>160</v>
      </c>
      <c r="T11" s="10" t="s">
        <v>161</v>
      </c>
      <c r="U11" s="10" t="s">
        <v>162</v>
      </c>
      <c r="V11" s="10" t="s">
        <v>163</v>
      </c>
      <c r="W11" s="10" t="s">
        <v>164</v>
      </c>
      <c r="X11" s="10" t="s">
        <v>165</v>
      </c>
      <c r="Y11" s="10" t="s">
        <v>166</v>
      </c>
      <c r="Z11" s="10" t="s">
        <v>167</v>
      </c>
      <c r="AA11" s="10" t="s">
        <v>168</v>
      </c>
      <c r="AB11" s="10" t="s">
        <v>169</v>
      </c>
      <c r="AC11" s="10" t="s">
        <v>170</v>
      </c>
      <c r="AD11" s="10" t="s">
        <v>171</v>
      </c>
      <c r="AE11" s="10" t="s">
        <v>172</v>
      </c>
      <c r="AF11" s="10" t="s">
        <v>173</v>
      </c>
      <c r="AG11" s="10" t="s">
        <v>174</v>
      </c>
      <c r="AH11" s="10" t="s">
        <v>175</v>
      </c>
      <c r="AI11" s="10" t="s">
        <v>176</v>
      </c>
      <c r="AJ11" s="10" t="s">
        <v>177</v>
      </c>
      <c r="AK11" s="10" t="s">
        <v>178</v>
      </c>
      <c r="AL11" s="10" t="s">
        <v>179</v>
      </c>
      <c r="AM11" s="10" t="s">
        <v>180</v>
      </c>
      <c r="AN11" s="10" t="s">
        <v>181</v>
      </c>
      <c r="AO11" s="10" t="s">
        <v>182</v>
      </c>
      <c r="AP11" s="10" t="s">
        <v>183</v>
      </c>
      <c r="AQ11" s="10" t="s">
        <v>184</v>
      </c>
      <c r="AR11" s="10" t="s">
        <v>185</v>
      </c>
      <c r="AS11" s="10" t="s">
        <v>186</v>
      </c>
      <c r="AT11" s="10" t="s">
        <v>187</v>
      </c>
      <c r="AU11" s="10" t="s">
        <v>188</v>
      </c>
      <c r="AV11" s="10" t="s">
        <v>189</v>
      </c>
      <c r="AW11" s="10" t="s">
        <v>190</v>
      </c>
      <c r="AX11" s="10" t="s">
        <v>191</v>
      </c>
      <c r="AY11" s="10" t="s">
        <v>192</v>
      </c>
      <c r="AZ11" s="10" t="s">
        <v>193</v>
      </c>
      <c r="BA11" s="10" t="s">
        <v>194</v>
      </c>
      <c r="BB11" s="10" t="s">
        <v>195</v>
      </c>
      <c r="BC11" s="10" t="s">
        <v>196</v>
      </c>
      <c r="BD11" s="10" t="s">
        <v>197</v>
      </c>
      <c r="BE11" s="10" t="s">
        <v>198</v>
      </c>
      <c r="BF11" s="10" t="s">
        <v>199</v>
      </c>
      <c r="BG11" s="10" t="s">
        <v>200</v>
      </c>
      <c r="BH11" s="10"/>
      <c r="BI11" s="10" t="s">
        <v>201</v>
      </c>
      <c r="BJ11" s="10" t="s">
        <v>202</v>
      </c>
      <c r="BK11" s="10" t="s">
        <v>203</v>
      </c>
      <c r="BL11" s="10" t="s">
        <v>204</v>
      </c>
      <c r="BM11" s="10" t="s">
        <v>205</v>
      </c>
      <c r="BN11" s="11" t="s">
        <v>206</v>
      </c>
      <c r="BO11" s="42"/>
    </row>
    <row r="12" spans="1:67" ht="15.75" x14ac:dyDescent="0.2">
      <c r="A12" s="43">
        <f>DATE(N6,K6,1)</f>
        <v>46235</v>
      </c>
      <c r="B12" s="4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3"/>
    </row>
    <row r="13" spans="1:67" ht="15.75" x14ac:dyDescent="0.2">
      <c r="A13" s="43">
        <f>A12+1</f>
        <v>46236</v>
      </c>
      <c r="B13" s="4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spans="1:67" ht="15.75" x14ac:dyDescent="0.2">
      <c r="A14" s="43">
        <f t="shared" ref="A14:A39" si="0">A13+1</f>
        <v>46237</v>
      </c>
      <c r="B14" s="4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15.75" x14ac:dyDescent="0.2">
      <c r="A15" s="43">
        <f t="shared" si="0"/>
        <v>46238</v>
      </c>
      <c r="B15" s="4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spans="1:67" ht="15.75" x14ac:dyDescent="0.2">
      <c r="A16" s="43">
        <f t="shared" si="0"/>
        <v>46239</v>
      </c>
      <c r="B16" s="4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67" ht="15.75" x14ac:dyDescent="0.2">
      <c r="A17" s="43">
        <f t="shared" si="0"/>
        <v>46240</v>
      </c>
      <c r="B17" s="4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spans="1:67" ht="15.75" x14ac:dyDescent="0.2">
      <c r="A18" s="43">
        <f t="shared" si="0"/>
        <v>46241</v>
      </c>
      <c r="B18" s="4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spans="1:67" ht="15.75" x14ac:dyDescent="0.2">
      <c r="A19" s="43">
        <f t="shared" si="0"/>
        <v>46242</v>
      </c>
      <c r="B19" s="4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spans="1:67" ht="15.75" x14ac:dyDescent="0.2">
      <c r="A20" s="43">
        <f t="shared" si="0"/>
        <v>46243</v>
      </c>
      <c r="B20" s="4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spans="1:67" ht="15.75" x14ac:dyDescent="0.2">
      <c r="A21" s="43">
        <f t="shared" si="0"/>
        <v>46244</v>
      </c>
      <c r="B21" s="4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spans="1:67" ht="15.75" x14ac:dyDescent="0.2">
      <c r="A22" s="43">
        <f t="shared" si="0"/>
        <v>46245</v>
      </c>
      <c r="B22" s="4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spans="1:67" ht="15.75" x14ac:dyDescent="0.2">
      <c r="A23" s="43">
        <f t="shared" si="0"/>
        <v>46246</v>
      </c>
      <c r="B23" s="4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spans="1:67" ht="15.75" x14ac:dyDescent="0.2">
      <c r="A24" s="43">
        <f t="shared" si="0"/>
        <v>46247</v>
      </c>
      <c r="B24" s="4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spans="1:67" ht="15.75" x14ac:dyDescent="0.2">
      <c r="A25" s="43">
        <f t="shared" si="0"/>
        <v>46248</v>
      </c>
      <c r="B25" s="4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spans="1:67" ht="15.75" x14ac:dyDescent="0.2">
      <c r="A26" s="43">
        <f t="shared" si="0"/>
        <v>46249</v>
      </c>
      <c r="B26" s="4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spans="1:67" ht="15.75" x14ac:dyDescent="0.2">
      <c r="A27" s="43">
        <f t="shared" si="0"/>
        <v>46250</v>
      </c>
      <c r="B27" s="4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spans="1:67" ht="15.75" x14ac:dyDescent="0.2">
      <c r="A28" s="43">
        <f t="shared" si="0"/>
        <v>46251</v>
      </c>
      <c r="B28" s="4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spans="1:67" ht="15.75" x14ac:dyDescent="0.2">
      <c r="A29" s="43">
        <f t="shared" si="0"/>
        <v>46252</v>
      </c>
      <c r="B29" s="4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spans="1:67" ht="15.75" x14ac:dyDescent="0.2">
      <c r="A30" s="43">
        <f t="shared" si="0"/>
        <v>46253</v>
      </c>
      <c r="B30" s="4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spans="1:67" ht="15.75" x14ac:dyDescent="0.2">
      <c r="A31" s="43">
        <f t="shared" si="0"/>
        <v>46254</v>
      </c>
      <c r="B31" s="4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spans="1:67" ht="15.75" x14ac:dyDescent="0.2">
      <c r="A32" s="43">
        <f t="shared" si="0"/>
        <v>46255</v>
      </c>
      <c r="B32" s="4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spans="1:67" ht="15.75" x14ac:dyDescent="0.2">
      <c r="A33" s="43">
        <f t="shared" si="0"/>
        <v>46256</v>
      </c>
      <c r="B33" s="4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spans="1:67" ht="15.75" x14ac:dyDescent="0.2">
      <c r="A34" s="43">
        <f>A33+1</f>
        <v>46257</v>
      </c>
      <c r="B34" s="4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spans="1:67" ht="15.75" x14ac:dyDescent="0.2">
      <c r="A35" s="43">
        <f t="shared" si="0"/>
        <v>46258</v>
      </c>
      <c r="B35" s="4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spans="1:67" ht="15.75" x14ac:dyDescent="0.2">
      <c r="A36" s="43">
        <f t="shared" si="0"/>
        <v>46259</v>
      </c>
      <c r="B36" s="4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spans="1:67" ht="15.75" x14ac:dyDescent="0.2">
      <c r="A37" s="43">
        <f t="shared" si="0"/>
        <v>46260</v>
      </c>
      <c r="B37" s="4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spans="1:67" ht="15.75" x14ac:dyDescent="0.2">
      <c r="A38" s="43">
        <f t="shared" si="0"/>
        <v>46261</v>
      </c>
      <c r="B38" s="4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spans="1:67" ht="15.75" x14ac:dyDescent="0.2">
      <c r="A39" s="43">
        <f t="shared" si="0"/>
        <v>46262</v>
      </c>
      <c r="B39" s="4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spans="1:67" ht="15.75" x14ac:dyDescent="0.2">
      <c r="A40" s="43">
        <f>IF(A39="","",IF(A39=EOMONTH(DATE($N$6,$K$6,1),0),"",A39+1))</f>
        <v>46263</v>
      </c>
      <c r="B40" s="4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spans="1:67" ht="15.75" x14ac:dyDescent="0.2">
      <c r="A41" s="43">
        <f>IF(A40="","",IF(A40=EOMONTH(DATE($N$6,$K$6,1),0),"",A40+1))</f>
        <v>46264</v>
      </c>
      <c r="B41" s="4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spans="1:67" ht="15.75" x14ac:dyDescent="0.2">
      <c r="A42" s="43">
        <f>IF(A41="","",IF(A41=EOMONTH(DATE($N$6,$K$6,1),0),"",A41+1))</f>
        <v>46265</v>
      </c>
      <c r="B42" s="4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spans="1:67" ht="13.5" x14ac:dyDescent="0.25">
      <c r="A43" s="14" t="s">
        <v>207</v>
      </c>
      <c r="B43" s="45" t="s">
        <v>208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</row>
    <row r="44" spans="1:67" x14ac:dyDescent="0.2">
      <c r="A44" s="16"/>
      <c r="B44" s="15" t="s">
        <v>209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 t="s">
        <v>210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5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O30" sqref="O30"/>
    </sheetView>
  </sheetViews>
  <sheetFormatPr defaultRowHeight="12.75" x14ac:dyDescent="0.2"/>
  <cols>
    <col min="1" max="2" width="23.5" bestFit="1" customWidth="1"/>
    <col min="3" max="3" width="35.6640625" bestFit="1" customWidth="1"/>
    <col min="4" max="4" width="36.33203125" bestFit="1" customWidth="1"/>
    <col min="5" max="5" width="31.6640625" bestFit="1" customWidth="1"/>
    <col min="6" max="6" width="31.83203125" bestFit="1" customWidth="1"/>
    <col min="7" max="7" width="25.83203125" bestFit="1" customWidth="1"/>
    <col min="8" max="8" width="27.5" bestFit="1" customWidth="1"/>
    <col min="9" max="9" width="25.33203125" bestFit="1" customWidth="1"/>
    <col min="10" max="10" width="22.83203125" bestFit="1" customWidth="1"/>
    <col min="11" max="11" width="35.33203125" bestFit="1" customWidth="1"/>
    <col min="12" max="12" width="22.83203125" bestFit="1" customWidth="1"/>
    <col min="13" max="13" width="30.1640625" bestFit="1" customWidth="1"/>
    <col min="14" max="14" width="38.5" bestFit="1" customWidth="1"/>
    <col min="15" max="15" width="41.6640625" bestFit="1" customWidth="1"/>
    <col min="16" max="16" width="28.33203125" bestFit="1" customWidth="1"/>
    <col min="17" max="17" width="40.1640625" bestFit="1" customWidth="1"/>
    <col min="18" max="18" width="31.33203125" bestFit="1" customWidth="1"/>
    <col min="19" max="19" width="40.6640625" bestFit="1" customWidth="1"/>
    <col min="20" max="20" width="36.33203125" bestFit="1" customWidth="1"/>
    <col min="21" max="21" width="39.6640625" bestFit="1" customWidth="1"/>
    <col min="22" max="22" width="43.33203125" bestFit="1" customWidth="1"/>
    <col min="23" max="23" width="31.33203125" bestFit="1" customWidth="1"/>
    <col min="24" max="24" width="30.1640625" bestFit="1" customWidth="1"/>
    <col min="25" max="25" width="32.83203125" bestFit="1" customWidth="1"/>
    <col min="26" max="26" width="37" bestFit="1" customWidth="1"/>
    <col min="27" max="27" width="28.5" bestFit="1" customWidth="1"/>
    <col min="28" max="28" width="42.33203125" bestFit="1" customWidth="1"/>
    <col min="29" max="29" width="40.1640625" bestFit="1" customWidth="1"/>
    <col min="30" max="30" width="32.83203125" bestFit="1" customWidth="1"/>
    <col min="31" max="31" width="44" bestFit="1" customWidth="1"/>
    <col min="32" max="32" width="40.83203125" bestFit="1" customWidth="1"/>
    <col min="33" max="33" width="23" bestFit="1" customWidth="1"/>
    <col min="34" max="34" width="29.1640625" bestFit="1" customWidth="1"/>
    <col min="35" max="35" width="36.83203125" bestFit="1" customWidth="1"/>
    <col min="36" max="36" width="42.5" bestFit="1" customWidth="1"/>
    <col min="37" max="37" width="40.6640625" bestFit="1" customWidth="1"/>
    <col min="38" max="38" width="37.5" bestFit="1" customWidth="1"/>
    <col min="39" max="39" width="32.5" bestFit="1" customWidth="1"/>
    <col min="40" max="40" width="30.6640625" bestFit="1" customWidth="1"/>
    <col min="41" max="41" width="25.1640625" bestFit="1" customWidth="1"/>
    <col min="42" max="42" width="30" bestFit="1" customWidth="1"/>
    <col min="43" max="43" width="30.1640625" bestFit="1" customWidth="1"/>
    <col min="44" max="44" width="27.33203125" bestFit="1" customWidth="1"/>
    <col min="45" max="45" width="29" bestFit="1" customWidth="1"/>
    <col min="46" max="46" width="44.6640625" bestFit="1" customWidth="1"/>
    <col min="47" max="47" width="45.83203125" bestFit="1" customWidth="1"/>
    <col min="48" max="48" width="29.6640625" bestFit="1" customWidth="1"/>
    <col min="49" max="49" width="30.1640625" bestFit="1" customWidth="1"/>
    <col min="50" max="51" width="24.6640625" bestFit="1" customWidth="1"/>
    <col min="52" max="52" width="31.33203125" bestFit="1" customWidth="1"/>
    <col min="53" max="53" width="32.83203125" bestFit="1" customWidth="1"/>
    <col min="54" max="54" width="43.33203125" bestFit="1" customWidth="1"/>
    <col min="55" max="55" width="30.1640625" bestFit="1" customWidth="1"/>
    <col min="56" max="56" width="36.33203125" bestFit="1" customWidth="1"/>
    <col min="57" max="57" width="17.5" bestFit="1" customWidth="1"/>
    <col min="58" max="58" width="33.6640625" bestFit="1" customWidth="1"/>
    <col min="59" max="59" width="41.33203125" bestFit="1" customWidth="1"/>
    <col min="60" max="60" width="6.83203125" bestFit="1" customWidth="1"/>
    <col min="61" max="61" width="28.6640625" bestFit="1" customWidth="1"/>
    <col min="62" max="62" width="29.1640625" bestFit="1" customWidth="1"/>
    <col min="63" max="63" width="28" bestFit="1" customWidth="1"/>
    <col min="64" max="64" width="28.6640625" bestFit="1" customWidth="1"/>
    <col min="65" max="65" width="38" bestFit="1" customWidth="1"/>
    <col min="66" max="66" width="35" bestFit="1" customWidth="1"/>
    <col min="67" max="67" width="14.6640625" bestFit="1" customWidth="1"/>
  </cols>
  <sheetData>
    <row r="1" spans="1:67" x14ac:dyDescent="0.2">
      <c r="A1" s="17" t="s">
        <v>0</v>
      </c>
      <c r="B1" s="1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7" t="s">
        <v>2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9"/>
    </row>
    <row r="2" spans="1:67" x14ac:dyDescent="0.2">
      <c r="A2" s="17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7" t="s">
        <v>3</v>
      </c>
      <c r="O2" s="28"/>
      <c r="P2" s="29"/>
      <c r="Q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9"/>
      <c r="BO2" s="1" t="s">
        <v>4</v>
      </c>
    </row>
    <row r="3" spans="1:67" x14ac:dyDescent="0.2">
      <c r="A3" s="17"/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6"/>
      <c r="N3" s="27" t="s">
        <v>5</v>
      </c>
      <c r="O3" s="28"/>
      <c r="P3" s="29"/>
      <c r="Q3" s="2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9"/>
      <c r="BO3" s="1" t="s">
        <v>6</v>
      </c>
    </row>
    <row r="4" spans="1:67" x14ac:dyDescent="0.2">
      <c r="A4" s="30" t="s">
        <v>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2"/>
    </row>
    <row r="5" spans="1:67" ht="18.75" x14ac:dyDescent="0.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9</v>
      </c>
      <c r="L6" s="3"/>
      <c r="M6" s="3" t="s">
        <v>10</v>
      </c>
      <c r="N6" s="34">
        <v>2026</v>
      </c>
      <c r="O6" s="3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5" t="s">
        <v>11</v>
      </c>
      <c r="B8" s="37" t="s">
        <v>12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0" t="s">
        <v>13</v>
      </c>
    </row>
    <row r="9" spans="1:67" x14ac:dyDescent="0.2">
      <c r="A9" s="35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41"/>
    </row>
    <row r="10" spans="1:67" ht="15" x14ac:dyDescent="0.25">
      <c r="A10" s="35"/>
      <c r="B10" s="6" t="s">
        <v>79</v>
      </c>
      <c r="C10" s="7" t="s">
        <v>80</v>
      </c>
      <c r="D10" s="7" t="s">
        <v>81</v>
      </c>
      <c r="E10" s="8" t="s">
        <v>82</v>
      </c>
      <c r="F10" s="8" t="s">
        <v>83</v>
      </c>
      <c r="G10" s="8" t="s">
        <v>84</v>
      </c>
      <c r="H10" s="8" t="s">
        <v>85</v>
      </c>
      <c r="I10" s="7" t="s">
        <v>86</v>
      </c>
      <c r="J10" s="8" t="s">
        <v>87</v>
      </c>
      <c r="K10" s="8" t="s">
        <v>88</v>
      </c>
      <c r="L10" s="8" t="s">
        <v>89</v>
      </c>
      <c r="M10" s="8" t="s">
        <v>90</v>
      </c>
      <c r="N10" s="8" t="s">
        <v>91</v>
      </c>
      <c r="O10" s="8" t="s">
        <v>92</v>
      </c>
      <c r="P10" s="8" t="s">
        <v>93</v>
      </c>
      <c r="Q10" s="8" t="s">
        <v>94</v>
      </c>
      <c r="R10" s="8" t="s">
        <v>95</v>
      </c>
      <c r="S10" s="9" t="s">
        <v>96</v>
      </c>
      <c r="T10" s="8" t="s">
        <v>97</v>
      </c>
      <c r="U10" s="8" t="s">
        <v>98</v>
      </c>
      <c r="V10" s="8" t="s">
        <v>99</v>
      </c>
      <c r="W10" s="8" t="s">
        <v>100</v>
      </c>
      <c r="X10" s="8" t="s">
        <v>101</v>
      </c>
      <c r="Y10" s="8" t="s">
        <v>102</v>
      </c>
      <c r="Z10" s="8" t="s">
        <v>103</v>
      </c>
      <c r="AA10" s="8" t="s">
        <v>104</v>
      </c>
      <c r="AB10" s="8" t="s">
        <v>105</v>
      </c>
      <c r="AC10" s="8" t="s">
        <v>106</v>
      </c>
      <c r="AD10" s="8" t="s">
        <v>107</v>
      </c>
      <c r="AE10" s="8" t="s">
        <v>108</v>
      </c>
      <c r="AF10" s="8" t="s">
        <v>109</v>
      </c>
      <c r="AG10" s="8" t="s">
        <v>110</v>
      </c>
      <c r="AH10" s="8" t="s">
        <v>111</v>
      </c>
      <c r="AI10" s="8" t="s">
        <v>112</v>
      </c>
      <c r="AJ10" s="8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8" t="s">
        <v>123</v>
      </c>
      <c r="AU10" s="8" t="s">
        <v>124</v>
      </c>
      <c r="AV10" s="8" t="s">
        <v>125</v>
      </c>
      <c r="AW10" s="8" t="s">
        <v>126</v>
      </c>
      <c r="AX10" s="8" t="s">
        <v>127</v>
      </c>
      <c r="AY10" s="8" t="s">
        <v>128</v>
      </c>
      <c r="AZ10" s="7" t="s">
        <v>129</v>
      </c>
      <c r="BA10" s="7" t="s">
        <v>130</v>
      </c>
      <c r="BB10" s="7" t="s">
        <v>131</v>
      </c>
      <c r="BC10" s="7" t="s">
        <v>132</v>
      </c>
      <c r="BD10" s="7" t="s">
        <v>133</v>
      </c>
      <c r="BE10" s="7" t="s">
        <v>134</v>
      </c>
      <c r="BF10" s="7" t="s">
        <v>135</v>
      </c>
      <c r="BG10" s="7" t="s">
        <v>136</v>
      </c>
      <c r="BH10" s="8"/>
      <c r="BI10" s="8" t="s">
        <v>137</v>
      </c>
      <c r="BJ10" s="8" t="s">
        <v>138</v>
      </c>
      <c r="BK10" s="8" t="s">
        <v>139</v>
      </c>
      <c r="BL10" s="8" t="s">
        <v>140</v>
      </c>
      <c r="BM10" s="8" t="s">
        <v>141</v>
      </c>
      <c r="BN10" s="8" t="s">
        <v>142</v>
      </c>
      <c r="BO10" s="41"/>
    </row>
    <row r="11" spans="1:67" x14ac:dyDescent="0.2">
      <c r="A11" s="36"/>
      <c r="B11" s="6" t="s">
        <v>143</v>
      </c>
      <c r="C11" s="10" t="s">
        <v>144</v>
      </c>
      <c r="D11" s="10" t="s">
        <v>145</v>
      </c>
      <c r="E11" s="10" t="s">
        <v>146</v>
      </c>
      <c r="F11" s="10" t="s">
        <v>147</v>
      </c>
      <c r="G11" s="10" t="s">
        <v>148</v>
      </c>
      <c r="H11" s="10" t="s">
        <v>149</v>
      </c>
      <c r="I11" s="10" t="s">
        <v>150</v>
      </c>
      <c r="J11" s="10" t="s">
        <v>151</v>
      </c>
      <c r="K11" s="10" t="s">
        <v>152</v>
      </c>
      <c r="L11" s="10" t="s">
        <v>153</v>
      </c>
      <c r="M11" s="10" t="s">
        <v>154</v>
      </c>
      <c r="N11" s="10" t="s">
        <v>155</v>
      </c>
      <c r="O11" s="10" t="s">
        <v>156</v>
      </c>
      <c r="P11" s="10" t="s">
        <v>157</v>
      </c>
      <c r="Q11" s="10" t="s">
        <v>158</v>
      </c>
      <c r="R11" s="10" t="s">
        <v>159</v>
      </c>
      <c r="S11" s="10" t="s">
        <v>160</v>
      </c>
      <c r="T11" s="10" t="s">
        <v>161</v>
      </c>
      <c r="U11" s="10" t="s">
        <v>162</v>
      </c>
      <c r="V11" s="10" t="s">
        <v>163</v>
      </c>
      <c r="W11" s="10" t="s">
        <v>164</v>
      </c>
      <c r="X11" s="10" t="s">
        <v>165</v>
      </c>
      <c r="Y11" s="10" t="s">
        <v>166</v>
      </c>
      <c r="Z11" s="10" t="s">
        <v>167</v>
      </c>
      <c r="AA11" s="10" t="s">
        <v>168</v>
      </c>
      <c r="AB11" s="10" t="s">
        <v>169</v>
      </c>
      <c r="AC11" s="10" t="s">
        <v>170</v>
      </c>
      <c r="AD11" s="10" t="s">
        <v>171</v>
      </c>
      <c r="AE11" s="10" t="s">
        <v>172</v>
      </c>
      <c r="AF11" s="10" t="s">
        <v>173</v>
      </c>
      <c r="AG11" s="10" t="s">
        <v>174</v>
      </c>
      <c r="AH11" s="10" t="s">
        <v>175</v>
      </c>
      <c r="AI11" s="10" t="s">
        <v>176</v>
      </c>
      <c r="AJ11" s="10" t="s">
        <v>177</v>
      </c>
      <c r="AK11" s="10" t="s">
        <v>178</v>
      </c>
      <c r="AL11" s="10" t="s">
        <v>179</v>
      </c>
      <c r="AM11" s="10" t="s">
        <v>180</v>
      </c>
      <c r="AN11" s="10" t="s">
        <v>181</v>
      </c>
      <c r="AO11" s="10" t="s">
        <v>182</v>
      </c>
      <c r="AP11" s="10" t="s">
        <v>183</v>
      </c>
      <c r="AQ11" s="10" t="s">
        <v>184</v>
      </c>
      <c r="AR11" s="10" t="s">
        <v>185</v>
      </c>
      <c r="AS11" s="10" t="s">
        <v>186</v>
      </c>
      <c r="AT11" s="10" t="s">
        <v>187</v>
      </c>
      <c r="AU11" s="10" t="s">
        <v>188</v>
      </c>
      <c r="AV11" s="10" t="s">
        <v>189</v>
      </c>
      <c r="AW11" s="10" t="s">
        <v>190</v>
      </c>
      <c r="AX11" s="10" t="s">
        <v>191</v>
      </c>
      <c r="AY11" s="10" t="s">
        <v>192</v>
      </c>
      <c r="AZ11" s="10" t="s">
        <v>193</v>
      </c>
      <c r="BA11" s="10" t="s">
        <v>194</v>
      </c>
      <c r="BB11" s="10" t="s">
        <v>195</v>
      </c>
      <c r="BC11" s="10" t="s">
        <v>196</v>
      </c>
      <c r="BD11" s="10" t="s">
        <v>197</v>
      </c>
      <c r="BE11" s="10" t="s">
        <v>198</v>
      </c>
      <c r="BF11" s="10" t="s">
        <v>199</v>
      </c>
      <c r="BG11" s="10" t="s">
        <v>200</v>
      </c>
      <c r="BH11" s="10"/>
      <c r="BI11" s="10" t="s">
        <v>201</v>
      </c>
      <c r="BJ11" s="10" t="s">
        <v>202</v>
      </c>
      <c r="BK11" s="10" t="s">
        <v>203</v>
      </c>
      <c r="BL11" s="10" t="s">
        <v>204</v>
      </c>
      <c r="BM11" s="10" t="s">
        <v>205</v>
      </c>
      <c r="BN11" s="11" t="s">
        <v>206</v>
      </c>
      <c r="BO11" s="42"/>
    </row>
    <row r="12" spans="1:67" ht="15.75" x14ac:dyDescent="0.2">
      <c r="A12" s="43">
        <f>DATE(N6,K6,1)</f>
        <v>46266</v>
      </c>
      <c r="B12" s="4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3"/>
    </row>
    <row r="13" spans="1:67" ht="15.75" x14ac:dyDescent="0.2">
      <c r="A13" s="43">
        <f>A12+1</f>
        <v>46267</v>
      </c>
      <c r="B13" s="4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spans="1:67" ht="15.75" x14ac:dyDescent="0.2">
      <c r="A14" s="43">
        <f t="shared" ref="A14:A39" si="0">A13+1</f>
        <v>46268</v>
      </c>
      <c r="B14" s="4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15.75" x14ac:dyDescent="0.2">
      <c r="A15" s="43">
        <f t="shared" si="0"/>
        <v>46269</v>
      </c>
      <c r="B15" s="4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spans="1:67" ht="15.75" x14ac:dyDescent="0.2">
      <c r="A16" s="43">
        <f t="shared" si="0"/>
        <v>46270</v>
      </c>
      <c r="B16" s="4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67" ht="15.75" x14ac:dyDescent="0.2">
      <c r="A17" s="43">
        <f t="shared" si="0"/>
        <v>46271</v>
      </c>
      <c r="B17" s="4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spans="1:67" ht="15.75" x14ac:dyDescent="0.2">
      <c r="A18" s="43">
        <f t="shared" si="0"/>
        <v>46272</v>
      </c>
      <c r="B18" s="4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spans="1:67" ht="15.75" x14ac:dyDescent="0.2">
      <c r="A19" s="43">
        <f t="shared" si="0"/>
        <v>46273</v>
      </c>
      <c r="B19" s="4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spans="1:67" ht="15.75" x14ac:dyDescent="0.2">
      <c r="A20" s="43">
        <f t="shared" si="0"/>
        <v>46274</v>
      </c>
      <c r="B20" s="4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spans="1:67" ht="15.75" x14ac:dyDescent="0.2">
      <c r="A21" s="43">
        <f t="shared" si="0"/>
        <v>46275</v>
      </c>
      <c r="B21" s="4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spans="1:67" ht="15.75" x14ac:dyDescent="0.2">
      <c r="A22" s="43">
        <f t="shared" si="0"/>
        <v>46276</v>
      </c>
      <c r="B22" s="4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spans="1:67" ht="15.75" x14ac:dyDescent="0.2">
      <c r="A23" s="43">
        <f t="shared" si="0"/>
        <v>46277</v>
      </c>
      <c r="B23" s="4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spans="1:67" ht="15.75" x14ac:dyDescent="0.2">
      <c r="A24" s="43">
        <f t="shared" si="0"/>
        <v>46278</v>
      </c>
      <c r="B24" s="4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spans="1:67" ht="15.75" x14ac:dyDescent="0.2">
      <c r="A25" s="43">
        <f t="shared" si="0"/>
        <v>46279</v>
      </c>
      <c r="B25" s="4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spans="1:67" ht="15.75" x14ac:dyDescent="0.2">
      <c r="A26" s="43">
        <f t="shared" si="0"/>
        <v>46280</v>
      </c>
      <c r="B26" s="4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spans="1:67" ht="15.75" x14ac:dyDescent="0.2">
      <c r="A27" s="43">
        <f t="shared" si="0"/>
        <v>46281</v>
      </c>
      <c r="B27" s="4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spans="1:67" ht="15.75" x14ac:dyDescent="0.2">
      <c r="A28" s="43">
        <f t="shared" si="0"/>
        <v>46282</v>
      </c>
      <c r="B28" s="4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spans="1:67" ht="15.75" x14ac:dyDescent="0.2">
      <c r="A29" s="43">
        <f t="shared" si="0"/>
        <v>46283</v>
      </c>
      <c r="B29" s="4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spans="1:67" ht="15.75" x14ac:dyDescent="0.2">
      <c r="A30" s="43">
        <f t="shared" si="0"/>
        <v>46284</v>
      </c>
      <c r="B30" s="4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spans="1:67" ht="15.75" x14ac:dyDescent="0.2">
      <c r="A31" s="43">
        <f t="shared" si="0"/>
        <v>46285</v>
      </c>
      <c r="B31" s="4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spans="1:67" ht="15.75" x14ac:dyDescent="0.2">
      <c r="A32" s="43">
        <f t="shared" si="0"/>
        <v>46286</v>
      </c>
      <c r="B32" s="4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spans="1:67" ht="15.75" x14ac:dyDescent="0.2">
      <c r="A33" s="43">
        <f t="shared" si="0"/>
        <v>46287</v>
      </c>
      <c r="B33" s="4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spans="1:67" ht="15.75" x14ac:dyDescent="0.2">
      <c r="A34" s="43">
        <f>A33+1</f>
        <v>46288</v>
      </c>
      <c r="B34" s="4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spans="1:67" ht="15.75" x14ac:dyDescent="0.2">
      <c r="A35" s="43">
        <f t="shared" si="0"/>
        <v>46289</v>
      </c>
      <c r="B35" s="4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spans="1:67" ht="15.75" x14ac:dyDescent="0.2">
      <c r="A36" s="43">
        <f t="shared" si="0"/>
        <v>46290</v>
      </c>
      <c r="B36" s="4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spans="1:67" ht="15.75" x14ac:dyDescent="0.2">
      <c r="A37" s="43">
        <f t="shared" si="0"/>
        <v>46291</v>
      </c>
      <c r="B37" s="4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spans="1:67" ht="15.75" x14ac:dyDescent="0.2">
      <c r="A38" s="43">
        <f t="shared" si="0"/>
        <v>46292</v>
      </c>
      <c r="B38" s="4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spans="1:67" ht="15.75" x14ac:dyDescent="0.2">
      <c r="A39" s="43">
        <f t="shared" si="0"/>
        <v>46293</v>
      </c>
      <c r="B39" s="4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spans="1:67" ht="15.75" x14ac:dyDescent="0.2">
      <c r="A40" s="43">
        <f>IF(A39="","",IF(A39=EOMONTH(DATE($N$6,$K$6,1),0),"",A39+1))</f>
        <v>46294</v>
      </c>
      <c r="B40" s="4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spans="1:67" ht="15.75" x14ac:dyDescent="0.2">
      <c r="A41" s="43">
        <f>IF(A40="","",IF(A40=EOMONTH(DATE($N$6,$K$6,1),0),"",A40+1))</f>
        <v>46295</v>
      </c>
      <c r="B41" s="4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spans="1:67" ht="15.75" x14ac:dyDescent="0.2">
      <c r="A42" s="43" t="str">
        <f>IF(A41="","",IF(A41=EOMONTH(DATE($N$6,$K$6,1),0),"",A41+1))</f>
        <v/>
      </c>
      <c r="B42" s="4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spans="1:67" ht="13.5" x14ac:dyDescent="0.25">
      <c r="A43" s="14" t="s">
        <v>207</v>
      </c>
      <c r="B43" s="45" t="s">
        <v>208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</row>
    <row r="44" spans="1:67" x14ac:dyDescent="0.2">
      <c r="A44" s="16"/>
      <c r="B44" s="15" t="s">
        <v>209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 t="s">
        <v>210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9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I28" sqref="I28"/>
    </sheetView>
  </sheetViews>
  <sheetFormatPr defaultRowHeight="12.75" x14ac:dyDescent="0.2"/>
  <cols>
    <col min="1" max="2" width="23.5" bestFit="1" customWidth="1"/>
    <col min="3" max="3" width="35.6640625" bestFit="1" customWidth="1"/>
    <col min="4" max="4" width="36.33203125" bestFit="1" customWidth="1"/>
    <col min="5" max="5" width="31.6640625" bestFit="1" customWidth="1"/>
    <col min="6" max="6" width="31.83203125" bestFit="1" customWidth="1"/>
    <col min="7" max="7" width="25.83203125" bestFit="1" customWidth="1"/>
    <col min="8" max="8" width="27.5" bestFit="1" customWidth="1"/>
    <col min="9" max="9" width="25.33203125" bestFit="1" customWidth="1"/>
    <col min="10" max="10" width="22.83203125" bestFit="1" customWidth="1"/>
    <col min="11" max="11" width="35.33203125" bestFit="1" customWidth="1"/>
    <col min="12" max="12" width="22.83203125" bestFit="1" customWidth="1"/>
    <col min="13" max="13" width="30.1640625" bestFit="1" customWidth="1"/>
    <col min="14" max="14" width="38.5" bestFit="1" customWidth="1"/>
    <col min="15" max="15" width="41.6640625" bestFit="1" customWidth="1"/>
    <col min="16" max="16" width="28.33203125" bestFit="1" customWidth="1"/>
    <col min="17" max="17" width="40.1640625" bestFit="1" customWidth="1"/>
    <col min="18" max="18" width="31.33203125" bestFit="1" customWidth="1"/>
    <col min="19" max="19" width="40.6640625" bestFit="1" customWidth="1"/>
    <col min="20" max="20" width="36.33203125" bestFit="1" customWidth="1"/>
    <col min="21" max="21" width="39.6640625" bestFit="1" customWidth="1"/>
    <col min="22" max="22" width="43.33203125" bestFit="1" customWidth="1"/>
    <col min="23" max="23" width="31.33203125" bestFit="1" customWidth="1"/>
    <col min="24" max="24" width="30.1640625" bestFit="1" customWidth="1"/>
    <col min="25" max="25" width="32.83203125" bestFit="1" customWidth="1"/>
    <col min="26" max="26" width="37" bestFit="1" customWidth="1"/>
    <col min="27" max="27" width="28.5" bestFit="1" customWidth="1"/>
    <col min="28" max="28" width="42.33203125" bestFit="1" customWidth="1"/>
    <col min="29" max="29" width="40.1640625" bestFit="1" customWidth="1"/>
    <col min="30" max="30" width="32.83203125" bestFit="1" customWidth="1"/>
    <col min="31" max="31" width="44" bestFit="1" customWidth="1"/>
    <col min="32" max="32" width="40.83203125" bestFit="1" customWidth="1"/>
    <col min="33" max="33" width="23" bestFit="1" customWidth="1"/>
    <col min="34" max="34" width="29.1640625" bestFit="1" customWidth="1"/>
    <col min="35" max="35" width="36.83203125" bestFit="1" customWidth="1"/>
    <col min="36" max="36" width="42.5" bestFit="1" customWidth="1"/>
    <col min="37" max="37" width="40.6640625" bestFit="1" customWidth="1"/>
    <col min="38" max="38" width="37.5" bestFit="1" customWidth="1"/>
    <col min="39" max="39" width="32.5" bestFit="1" customWidth="1"/>
    <col min="40" max="40" width="30.6640625" bestFit="1" customWidth="1"/>
    <col min="41" max="41" width="25.1640625" bestFit="1" customWidth="1"/>
    <col min="42" max="42" width="30" bestFit="1" customWidth="1"/>
    <col min="43" max="43" width="30.1640625" bestFit="1" customWidth="1"/>
    <col min="44" max="44" width="27.33203125" bestFit="1" customWidth="1"/>
    <col min="45" max="45" width="29" bestFit="1" customWidth="1"/>
    <col min="46" max="46" width="44.6640625" bestFit="1" customWidth="1"/>
    <col min="47" max="47" width="45.83203125" bestFit="1" customWidth="1"/>
    <col min="48" max="48" width="29.6640625" bestFit="1" customWidth="1"/>
    <col min="49" max="49" width="30.1640625" bestFit="1" customWidth="1"/>
    <col min="50" max="51" width="24.6640625" bestFit="1" customWidth="1"/>
    <col min="52" max="52" width="31.33203125" bestFit="1" customWidth="1"/>
    <col min="53" max="53" width="32.83203125" bestFit="1" customWidth="1"/>
    <col min="54" max="54" width="43.33203125" bestFit="1" customWidth="1"/>
    <col min="55" max="55" width="30.1640625" bestFit="1" customWidth="1"/>
    <col min="56" max="56" width="36.33203125" bestFit="1" customWidth="1"/>
    <col min="57" max="57" width="17.5" bestFit="1" customWidth="1"/>
    <col min="58" max="58" width="33.6640625" bestFit="1" customWidth="1"/>
    <col min="59" max="59" width="41.33203125" bestFit="1" customWidth="1"/>
    <col min="60" max="60" width="6.83203125" bestFit="1" customWidth="1"/>
    <col min="61" max="61" width="28.6640625" bestFit="1" customWidth="1"/>
    <col min="62" max="62" width="29.1640625" bestFit="1" customWidth="1"/>
    <col min="63" max="63" width="28" bestFit="1" customWidth="1"/>
    <col min="64" max="64" width="28.6640625" bestFit="1" customWidth="1"/>
    <col min="65" max="65" width="38" bestFit="1" customWidth="1"/>
    <col min="66" max="66" width="35" bestFit="1" customWidth="1"/>
    <col min="67" max="67" width="14.6640625" bestFit="1" customWidth="1"/>
  </cols>
  <sheetData>
    <row r="1" spans="1:67" x14ac:dyDescent="0.2">
      <c r="A1" s="17" t="s">
        <v>0</v>
      </c>
      <c r="B1" s="1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7" t="s">
        <v>2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9"/>
    </row>
    <row r="2" spans="1:67" x14ac:dyDescent="0.2">
      <c r="A2" s="17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7" t="s">
        <v>3</v>
      </c>
      <c r="O2" s="28"/>
      <c r="P2" s="29"/>
      <c r="Q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9"/>
      <c r="BO2" s="1" t="s">
        <v>4</v>
      </c>
    </row>
    <row r="3" spans="1:67" x14ac:dyDescent="0.2">
      <c r="A3" s="17"/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6"/>
      <c r="N3" s="27" t="s">
        <v>5</v>
      </c>
      <c r="O3" s="28"/>
      <c r="P3" s="29"/>
      <c r="Q3" s="2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9"/>
      <c r="BO3" s="1" t="s">
        <v>6</v>
      </c>
    </row>
    <row r="4" spans="1:67" x14ac:dyDescent="0.2">
      <c r="A4" s="30" t="s">
        <v>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2"/>
    </row>
    <row r="5" spans="1:67" ht="18.75" x14ac:dyDescent="0.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10</v>
      </c>
      <c r="L6" s="3"/>
      <c r="M6" s="3" t="s">
        <v>10</v>
      </c>
      <c r="N6" s="34">
        <v>2026</v>
      </c>
      <c r="O6" s="3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5" t="s">
        <v>11</v>
      </c>
      <c r="B8" s="37" t="s">
        <v>12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0" t="s">
        <v>13</v>
      </c>
    </row>
    <row r="9" spans="1:67" x14ac:dyDescent="0.2">
      <c r="A9" s="35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41"/>
    </row>
    <row r="10" spans="1:67" ht="15" x14ac:dyDescent="0.25">
      <c r="A10" s="35"/>
      <c r="B10" s="6" t="s">
        <v>79</v>
      </c>
      <c r="C10" s="7" t="s">
        <v>80</v>
      </c>
      <c r="D10" s="7" t="s">
        <v>81</v>
      </c>
      <c r="E10" s="8" t="s">
        <v>82</v>
      </c>
      <c r="F10" s="8" t="s">
        <v>83</v>
      </c>
      <c r="G10" s="8" t="s">
        <v>84</v>
      </c>
      <c r="H10" s="8" t="s">
        <v>85</v>
      </c>
      <c r="I10" s="7" t="s">
        <v>86</v>
      </c>
      <c r="J10" s="8" t="s">
        <v>87</v>
      </c>
      <c r="K10" s="8" t="s">
        <v>88</v>
      </c>
      <c r="L10" s="8" t="s">
        <v>89</v>
      </c>
      <c r="M10" s="8" t="s">
        <v>90</v>
      </c>
      <c r="N10" s="8" t="s">
        <v>91</v>
      </c>
      <c r="O10" s="8" t="s">
        <v>92</v>
      </c>
      <c r="P10" s="8" t="s">
        <v>93</v>
      </c>
      <c r="Q10" s="8" t="s">
        <v>94</v>
      </c>
      <c r="R10" s="8" t="s">
        <v>95</v>
      </c>
      <c r="S10" s="9" t="s">
        <v>96</v>
      </c>
      <c r="T10" s="8" t="s">
        <v>97</v>
      </c>
      <c r="U10" s="8" t="s">
        <v>98</v>
      </c>
      <c r="V10" s="8" t="s">
        <v>99</v>
      </c>
      <c r="W10" s="8" t="s">
        <v>100</v>
      </c>
      <c r="X10" s="8" t="s">
        <v>101</v>
      </c>
      <c r="Y10" s="8" t="s">
        <v>102</v>
      </c>
      <c r="Z10" s="8" t="s">
        <v>103</v>
      </c>
      <c r="AA10" s="8" t="s">
        <v>104</v>
      </c>
      <c r="AB10" s="8" t="s">
        <v>105</v>
      </c>
      <c r="AC10" s="8" t="s">
        <v>106</v>
      </c>
      <c r="AD10" s="8" t="s">
        <v>107</v>
      </c>
      <c r="AE10" s="8" t="s">
        <v>108</v>
      </c>
      <c r="AF10" s="8" t="s">
        <v>109</v>
      </c>
      <c r="AG10" s="8" t="s">
        <v>110</v>
      </c>
      <c r="AH10" s="8" t="s">
        <v>111</v>
      </c>
      <c r="AI10" s="8" t="s">
        <v>112</v>
      </c>
      <c r="AJ10" s="8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8" t="s">
        <v>123</v>
      </c>
      <c r="AU10" s="8" t="s">
        <v>124</v>
      </c>
      <c r="AV10" s="8" t="s">
        <v>125</v>
      </c>
      <c r="AW10" s="8" t="s">
        <v>126</v>
      </c>
      <c r="AX10" s="8" t="s">
        <v>127</v>
      </c>
      <c r="AY10" s="8" t="s">
        <v>128</v>
      </c>
      <c r="AZ10" s="7" t="s">
        <v>129</v>
      </c>
      <c r="BA10" s="7" t="s">
        <v>130</v>
      </c>
      <c r="BB10" s="7" t="s">
        <v>131</v>
      </c>
      <c r="BC10" s="7" t="s">
        <v>132</v>
      </c>
      <c r="BD10" s="7" t="s">
        <v>133</v>
      </c>
      <c r="BE10" s="7" t="s">
        <v>134</v>
      </c>
      <c r="BF10" s="7" t="s">
        <v>135</v>
      </c>
      <c r="BG10" s="7" t="s">
        <v>136</v>
      </c>
      <c r="BH10" s="8"/>
      <c r="BI10" s="8" t="s">
        <v>137</v>
      </c>
      <c r="BJ10" s="8" t="s">
        <v>138</v>
      </c>
      <c r="BK10" s="8" t="s">
        <v>139</v>
      </c>
      <c r="BL10" s="8" t="s">
        <v>140</v>
      </c>
      <c r="BM10" s="8" t="s">
        <v>141</v>
      </c>
      <c r="BN10" s="8" t="s">
        <v>142</v>
      </c>
      <c r="BO10" s="41"/>
    </row>
    <row r="11" spans="1:67" x14ac:dyDescent="0.2">
      <c r="A11" s="36"/>
      <c r="B11" s="6" t="s">
        <v>143</v>
      </c>
      <c r="C11" s="10" t="s">
        <v>144</v>
      </c>
      <c r="D11" s="10" t="s">
        <v>145</v>
      </c>
      <c r="E11" s="10" t="s">
        <v>146</v>
      </c>
      <c r="F11" s="10" t="s">
        <v>147</v>
      </c>
      <c r="G11" s="10" t="s">
        <v>148</v>
      </c>
      <c r="H11" s="10" t="s">
        <v>149</v>
      </c>
      <c r="I11" s="10" t="s">
        <v>150</v>
      </c>
      <c r="J11" s="10" t="s">
        <v>151</v>
      </c>
      <c r="K11" s="10" t="s">
        <v>152</v>
      </c>
      <c r="L11" s="10" t="s">
        <v>153</v>
      </c>
      <c r="M11" s="10" t="s">
        <v>154</v>
      </c>
      <c r="N11" s="10" t="s">
        <v>155</v>
      </c>
      <c r="O11" s="10" t="s">
        <v>156</v>
      </c>
      <c r="P11" s="10" t="s">
        <v>157</v>
      </c>
      <c r="Q11" s="10" t="s">
        <v>158</v>
      </c>
      <c r="R11" s="10" t="s">
        <v>159</v>
      </c>
      <c r="S11" s="10" t="s">
        <v>160</v>
      </c>
      <c r="T11" s="10" t="s">
        <v>161</v>
      </c>
      <c r="U11" s="10" t="s">
        <v>162</v>
      </c>
      <c r="V11" s="10" t="s">
        <v>163</v>
      </c>
      <c r="W11" s="10" t="s">
        <v>164</v>
      </c>
      <c r="X11" s="10" t="s">
        <v>165</v>
      </c>
      <c r="Y11" s="10" t="s">
        <v>166</v>
      </c>
      <c r="Z11" s="10" t="s">
        <v>167</v>
      </c>
      <c r="AA11" s="10" t="s">
        <v>168</v>
      </c>
      <c r="AB11" s="10" t="s">
        <v>169</v>
      </c>
      <c r="AC11" s="10" t="s">
        <v>170</v>
      </c>
      <c r="AD11" s="10" t="s">
        <v>171</v>
      </c>
      <c r="AE11" s="10" t="s">
        <v>172</v>
      </c>
      <c r="AF11" s="10" t="s">
        <v>173</v>
      </c>
      <c r="AG11" s="10" t="s">
        <v>174</v>
      </c>
      <c r="AH11" s="10" t="s">
        <v>175</v>
      </c>
      <c r="AI11" s="10" t="s">
        <v>176</v>
      </c>
      <c r="AJ11" s="10" t="s">
        <v>177</v>
      </c>
      <c r="AK11" s="10" t="s">
        <v>178</v>
      </c>
      <c r="AL11" s="10" t="s">
        <v>179</v>
      </c>
      <c r="AM11" s="10" t="s">
        <v>180</v>
      </c>
      <c r="AN11" s="10" t="s">
        <v>181</v>
      </c>
      <c r="AO11" s="10" t="s">
        <v>182</v>
      </c>
      <c r="AP11" s="10" t="s">
        <v>183</v>
      </c>
      <c r="AQ11" s="10" t="s">
        <v>184</v>
      </c>
      <c r="AR11" s="10" t="s">
        <v>185</v>
      </c>
      <c r="AS11" s="10" t="s">
        <v>186</v>
      </c>
      <c r="AT11" s="10" t="s">
        <v>187</v>
      </c>
      <c r="AU11" s="10" t="s">
        <v>188</v>
      </c>
      <c r="AV11" s="10" t="s">
        <v>189</v>
      </c>
      <c r="AW11" s="10" t="s">
        <v>190</v>
      </c>
      <c r="AX11" s="10" t="s">
        <v>191</v>
      </c>
      <c r="AY11" s="10" t="s">
        <v>192</v>
      </c>
      <c r="AZ11" s="10" t="s">
        <v>193</v>
      </c>
      <c r="BA11" s="10" t="s">
        <v>194</v>
      </c>
      <c r="BB11" s="10" t="s">
        <v>195</v>
      </c>
      <c r="BC11" s="10" t="s">
        <v>196</v>
      </c>
      <c r="BD11" s="10" t="s">
        <v>197</v>
      </c>
      <c r="BE11" s="10" t="s">
        <v>198</v>
      </c>
      <c r="BF11" s="10" t="s">
        <v>199</v>
      </c>
      <c r="BG11" s="10" t="s">
        <v>200</v>
      </c>
      <c r="BH11" s="10"/>
      <c r="BI11" s="10" t="s">
        <v>201</v>
      </c>
      <c r="BJ11" s="10" t="s">
        <v>202</v>
      </c>
      <c r="BK11" s="10" t="s">
        <v>203</v>
      </c>
      <c r="BL11" s="10" t="s">
        <v>204</v>
      </c>
      <c r="BM11" s="10" t="s">
        <v>205</v>
      </c>
      <c r="BN11" s="11" t="s">
        <v>206</v>
      </c>
      <c r="BO11" s="42"/>
    </row>
    <row r="12" spans="1:67" ht="15.75" x14ac:dyDescent="0.2">
      <c r="A12" s="43">
        <f>DATE(N6,K6,1)</f>
        <v>46296</v>
      </c>
      <c r="B12" s="4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3"/>
    </row>
    <row r="13" spans="1:67" ht="15.75" x14ac:dyDescent="0.2">
      <c r="A13" s="43">
        <f>A12+1</f>
        <v>46297</v>
      </c>
      <c r="B13" s="4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spans="1:67" ht="15.75" x14ac:dyDescent="0.2">
      <c r="A14" s="43">
        <f t="shared" ref="A14:A39" si="0">A13+1</f>
        <v>46298</v>
      </c>
      <c r="B14" s="4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15.75" x14ac:dyDescent="0.2">
      <c r="A15" s="43">
        <f t="shared" si="0"/>
        <v>46299</v>
      </c>
      <c r="B15" s="4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spans="1:67" ht="15.75" x14ac:dyDescent="0.2">
      <c r="A16" s="43">
        <f t="shared" si="0"/>
        <v>46300</v>
      </c>
      <c r="B16" s="4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67" ht="15.75" x14ac:dyDescent="0.2">
      <c r="A17" s="43">
        <f t="shared" si="0"/>
        <v>46301</v>
      </c>
      <c r="B17" s="4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spans="1:67" ht="15.75" x14ac:dyDescent="0.2">
      <c r="A18" s="43">
        <f t="shared" si="0"/>
        <v>46302</v>
      </c>
      <c r="B18" s="4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spans="1:67" ht="15.75" x14ac:dyDescent="0.2">
      <c r="A19" s="43">
        <f t="shared" si="0"/>
        <v>46303</v>
      </c>
      <c r="B19" s="4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spans="1:67" ht="15.75" x14ac:dyDescent="0.2">
      <c r="A20" s="43">
        <f t="shared" si="0"/>
        <v>46304</v>
      </c>
      <c r="B20" s="4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spans="1:67" ht="15.75" x14ac:dyDescent="0.2">
      <c r="A21" s="43">
        <f t="shared" si="0"/>
        <v>46305</v>
      </c>
      <c r="B21" s="4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spans="1:67" ht="15.75" x14ac:dyDescent="0.2">
      <c r="A22" s="43">
        <f t="shared" si="0"/>
        <v>46306</v>
      </c>
      <c r="B22" s="4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spans="1:67" ht="15.75" x14ac:dyDescent="0.2">
      <c r="A23" s="43">
        <f t="shared" si="0"/>
        <v>46307</v>
      </c>
      <c r="B23" s="4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spans="1:67" ht="15.75" x14ac:dyDescent="0.2">
      <c r="A24" s="43">
        <f t="shared" si="0"/>
        <v>46308</v>
      </c>
      <c r="B24" s="4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spans="1:67" ht="15.75" x14ac:dyDescent="0.2">
      <c r="A25" s="43">
        <f t="shared" si="0"/>
        <v>46309</v>
      </c>
      <c r="B25" s="4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spans="1:67" ht="15.75" x14ac:dyDescent="0.2">
      <c r="A26" s="43">
        <f t="shared" si="0"/>
        <v>46310</v>
      </c>
      <c r="B26" s="4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spans="1:67" ht="15.75" x14ac:dyDescent="0.2">
      <c r="A27" s="43">
        <f t="shared" si="0"/>
        <v>46311</v>
      </c>
      <c r="B27" s="4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spans="1:67" ht="15.75" x14ac:dyDescent="0.2">
      <c r="A28" s="43">
        <f t="shared" si="0"/>
        <v>46312</v>
      </c>
      <c r="B28" s="4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spans="1:67" ht="15.75" x14ac:dyDescent="0.2">
      <c r="A29" s="43">
        <f t="shared" si="0"/>
        <v>46313</v>
      </c>
      <c r="B29" s="4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spans="1:67" ht="15.75" x14ac:dyDescent="0.2">
      <c r="A30" s="43">
        <f t="shared" si="0"/>
        <v>46314</v>
      </c>
      <c r="B30" s="4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spans="1:67" ht="15.75" x14ac:dyDescent="0.2">
      <c r="A31" s="43">
        <f t="shared" si="0"/>
        <v>46315</v>
      </c>
      <c r="B31" s="4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spans="1:67" ht="15.75" x14ac:dyDescent="0.2">
      <c r="A32" s="43">
        <f t="shared" si="0"/>
        <v>46316</v>
      </c>
      <c r="B32" s="4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spans="1:67" ht="15.75" x14ac:dyDescent="0.2">
      <c r="A33" s="43">
        <f t="shared" si="0"/>
        <v>46317</v>
      </c>
      <c r="B33" s="4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spans="1:67" ht="15.75" x14ac:dyDescent="0.2">
      <c r="A34" s="43">
        <f>A33+1</f>
        <v>46318</v>
      </c>
      <c r="B34" s="4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spans="1:67" ht="15.75" x14ac:dyDescent="0.2">
      <c r="A35" s="43">
        <f t="shared" si="0"/>
        <v>46319</v>
      </c>
      <c r="B35" s="4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spans="1:67" ht="15.75" x14ac:dyDescent="0.2">
      <c r="A36" s="43">
        <f t="shared" si="0"/>
        <v>46320</v>
      </c>
      <c r="B36" s="4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spans="1:67" ht="15.75" x14ac:dyDescent="0.2">
      <c r="A37" s="43">
        <f t="shared" si="0"/>
        <v>46321</v>
      </c>
      <c r="B37" s="4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spans="1:67" ht="15.75" x14ac:dyDescent="0.2">
      <c r="A38" s="43">
        <f t="shared" si="0"/>
        <v>46322</v>
      </c>
      <c r="B38" s="4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spans="1:67" ht="15.75" x14ac:dyDescent="0.2">
      <c r="A39" s="43">
        <f t="shared" si="0"/>
        <v>46323</v>
      </c>
      <c r="B39" s="4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spans="1:67" ht="15.75" x14ac:dyDescent="0.2">
      <c r="A40" s="43">
        <f>IF(A39="","",IF(A39=EOMONTH(DATE($N$6,$K$6,1),0),"",A39+1))</f>
        <v>46324</v>
      </c>
      <c r="B40" s="4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spans="1:67" ht="15.75" x14ac:dyDescent="0.2">
      <c r="A41" s="43">
        <f>IF(A40="","",IF(A40=EOMONTH(DATE($N$6,$K$6,1),0),"",A40+1))</f>
        <v>46325</v>
      </c>
      <c r="B41" s="4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spans="1:67" ht="15.75" x14ac:dyDescent="0.2">
      <c r="A42" s="43">
        <f>IF(A41="","",IF(A41=EOMONTH(DATE($N$6,$K$6,1),0),"",A41+1))</f>
        <v>46326</v>
      </c>
      <c r="B42" s="4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spans="1:67" ht="13.5" x14ac:dyDescent="0.25">
      <c r="A43" s="14" t="s">
        <v>207</v>
      </c>
      <c r="B43" s="45" t="s">
        <v>208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</row>
    <row r="44" spans="1:67" x14ac:dyDescent="0.2">
      <c r="A44" s="16"/>
      <c r="B44" s="15" t="s">
        <v>209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 t="s">
        <v>210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3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I38" sqref="I38"/>
    </sheetView>
  </sheetViews>
  <sheetFormatPr defaultRowHeight="12.75" x14ac:dyDescent="0.2"/>
  <cols>
    <col min="1" max="2" width="23.5" bestFit="1" customWidth="1"/>
    <col min="3" max="3" width="35.6640625" bestFit="1" customWidth="1"/>
    <col min="4" max="4" width="36.33203125" bestFit="1" customWidth="1"/>
    <col min="5" max="5" width="31.6640625" bestFit="1" customWidth="1"/>
    <col min="6" max="6" width="31.83203125" bestFit="1" customWidth="1"/>
    <col min="7" max="7" width="25.83203125" bestFit="1" customWidth="1"/>
    <col min="8" max="8" width="27.5" bestFit="1" customWidth="1"/>
    <col min="9" max="9" width="25.33203125" bestFit="1" customWidth="1"/>
    <col min="10" max="10" width="22.83203125" bestFit="1" customWidth="1"/>
    <col min="11" max="11" width="35.33203125" bestFit="1" customWidth="1"/>
    <col min="12" max="12" width="22.83203125" bestFit="1" customWidth="1"/>
    <col min="13" max="13" width="30.1640625" bestFit="1" customWidth="1"/>
    <col min="14" max="14" width="38.5" bestFit="1" customWidth="1"/>
    <col min="15" max="15" width="41.6640625" bestFit="1" customWidth="1"/>
    <col min="16" max="16" width="28.33203125" bestFit="1" customWidth="1"/>
    <col min="17" max="17" width="40.1640625" bestFit="1" customWidth="1"/>
    <col min="18" max="18" width="31.33203125" bestFit="1" customWidth="1"/>
    <col min="19" max="19" width="40.6640625" bestFit="1" customWidth="1"/>
    <col min="20" max="20" width="36.33203125" bestFit="1" customWidth="1"/>
    <col min="21" max="21" width="39.6640625" bestFit="1" customWidth="1"/>
    <col min="22" max="22" width="43.33203125" bestFit="1" customWidth="1"/>
    <col min="23" max="23" width="31.33203125" bestFit="1" customWidth="1"/>
    <col min="24" max="24" width="30.1640625" bestFit="1" customWidth="1"/>
    <col min="25" max="25" width="32.83203125" bestFit="1" customWidth="1"/>
    <col min="26" max="26" width="37" bestFit="1" customWidth="1"/>
    <col min="27" max="27" width="28.5" bestFit="1" customWidth="1"/>
    <col min="28" max="28" width="42.33203125" bestFit="1" customWidth="1"/>
    <col min="29" max="29" width="40.1640625" bestFit="1" customWidth="1"/>
    <col min="30" max="30" width="32.83203125" bestFit="1" customWidth="1"/>
    <col min="31" max="31" width="44" bestFit="1" customWidth="1"/>
    <col min="32" max="32" width="40.83203125" bestFit="1" customWidth="1"/>
    <col min="33" max="33" width="23" bestFit="1" customWidth="1"/>
    <col min="34" max="34" width="29.1640625" bestFit="1" customWidth="1"/>
    <col min="35" max="35" width="36.83203125" bestFit="1" customWidth="1"/>
    <col min="36" max="36" width="42.5" bestFit="1" customWidth="1"/>
    <col min="37" max="37" width="40.6640625" bestFit="1" customWidth="1"/>
    <col min="38" max="38" width="37.5" bestFit="1" customWidth="1"/>
    <col min="39" max="39" width="32.5" bestFit="1" customWidth="1"/>
    <col min="40" max="40" width="30.6640625" bestFit="1" customWidth="1"/>
    <col min="41" max="41" width="25.1640625" bestFit="1" customWidth="1"/>
    <col min="42" max="42" width="30" bestFit="1" customWidth="1"/>
    <col min="43" max="43" width="30.1640625" bestFit="1" customWidth="1"/>
    <col min="44" max="44" width="27.33203125" bestFit="1" customWidth="1"/>
    <col min="45" max="45" width="29" bestFit="1" customWidth="1"/>
    <col min="46" max="46" width="44.6640625" bestFit="1" customWidth="1"/>
    <col min="47" max="47" width="45.83203125" bestFit="1" customWidth="1"/>
    <col min="48" max="48" width="29.6640625" bestFit="1" customWidth="1"/>
    <col min="49" max="49" width="30.1640625" bestFit="1" customWidth="1"/>
    <col min="50" max="51" width="24.6640625" bestFit="1" customWidth="1"/>
    <col min="52" max="52" width="31.33203125" bestFit="1" customWidth="1"/>
    <col min="53" max="53" width="32.83203125" bestFit="1" customWidth="1"/>
    <col min="54" max="54" width="43.33203125" bestFit="1" customWidth="1"/>
    <col min="55" max="55" width="30.1640625" bestFit="1" customWidth="1"/>
    <col min="56" max="56" width="36.33203125" bestFit="1" customWidth="1"/>
    <col min="57" max="57" width="17.5" bestFit="1" customWidth="1"/>
    <col min="58" max="58" width="33.6640625" bestFit="1" customWidth="1"/>
    <col min="59" max="59" width="41.33203125" bestFit="1" customWidth="1"/>
    <col min="60" max="60" width="6.83203125" bestFit="1" customWidth="1"/>
    <col min="61" max="61" width="28.6640625" bestFit="1" customWidth="1"/>
    <col min="62" max="62" width="29.1640625" bestFit="1" customWidth="1"/>
    <col min="63" max="63" width="28" bestFit="1" customWidth="1"/>
    <col min="64" max="64" width="28.6640625" bestFit="1" customWidth="1"/>
    <col min="65" max="65" width="38" bestFit="1" customWidth="1"/>
    <col min="66" max="66" width="35" bestFit="1" customWidth="1"/>
    <col min="67" max="67" width="14.6640625" bestFit="1" customWidth="1"/>
  </cols>
  <sheetData>
    <row r="1" spans="1:67" x14ac:dyDescent="0.2">
      <c r="A1" s="17" t="s">
        <v>0</v>
      </c>
      <c r="B1" s="1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7" t="s">
        <v>2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9"/>
    </row>
    <row r="2" spans="1:67" x14ac:dyDescent="0.2">
      <c r="A2" s="17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7" t="s">
        <v>3</v>
      </c>
      <c r="O2" s="28"/>
      <c r="P2" s="29"/>
      <c r="Q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9"/>
      <c r="BO2" s="1" t="s">
        <v>4</v>
      </c>
    </row>
    <row r="3" spans="1:67" x14ac:dyDescent="0.2">
      <c r="A3" s="17"/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6"/>
      <c r="N3" s="27" t="s">
        <v>5</v>
      </c>
      <c r="O3" s="28"/>
      <c r="P3" s="29"/>
      <c r="Q3" s="2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9"/>
      <c r="BO3" s="1" t="s">
        <v>6</v>
      </c>
    </row>
    <row r="4" spans="1:67" x14ac:dyDescent="0.2">
      <c r="A4" s="30" t="s">
        <v>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2"/>
    </row>
    <row r="5" spans="1:67" ht="18.75" x14ac:dyDescent="0.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11</v>
      </c>
      <c r="L6" s="3"/>
      <c r="M6" s="3" t="s">
        <v>10</v>
      </c>
      <c r="N6" s="34">
        <v>2026</v>
      </c>
      <c r="O6" s="3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5" t="s">
        <v>11</v>
      </c>
      <c r="B8" s="37" t="s">
        <v>12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0" t="s">
        <v>13</v>
      </c>
    </row>
    <row r="9" spans="1:67" x14ac:dyDescent="0.2">
      <c r="A9" s="35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41"/>
    </row>
    <row r="10" spans="1:67" ht="15" x14ac:dyDescent="0.25">
      <c r="A10" s="35"/>
      <c r="B10" s="6" t="s">
        <v>79</v>
      </c>
      <c r="C10" s="7" t="s">
        <v>80</v>
      </c>
      <c r="D10" s="7" t="s">
        <v>81</v>
      </c>
      <c r="E10" s="8" t="s">
        <v>82</v>
      </c>
      <c r="F10" s="8" t="s">
        <v>83</v>
      </c>
      <c r="G10" s="8" t="s">
        <v>84</v>
      </c>
      <c r="H10" s="8" t="s">
        <v>85</v>
      </c>
      <c r="I10" s="7" t="s">
        <v>86</v>
      </c>
      <c r="J10" s="8" t="s">
        <v>87</v>
      </c>
      <c r="K10" s="8" t="s">
        <v>88</v>
      </c>
      <c r="L10" s="8" t="s">
        <v>89</v>
      </c>
      <c r="M10" s="8" t="s">
        <v>90</v>
      </c>
      <c r="N10" s="8" t="s">
        <v>91</v>
      </c>
      <c r="O10" s="8" t="s">
        <v>92</v>
      </c>
      <c r="P10" s="8" t="s">
        <v>93</v>
      </c>
      <c r="Q10" s="8" t="s">
        <v>94</v>
      </c>
      <c r="R10" s="8" t="s">
        <v>95</v>
      </c>
      <c r="S10" s="9" t="s">
        <v>96</v>
      </c>
      <c r="T10" s="8" t="s">
        <v>97</v>
      </c>
      <c r="U10" s="8" t="s">
        <v>98</v>
      </c>
      <c r="V10" s="8" t="s">
        <v>99</v>
      </c>
      <c r="W10" s="8" t="s">
        <v>100</v>
      </c>
      <c r="X10" s="8" t="s">
        <v>101</v>
      </c>
      <c r="Y10" s="8" t="s">
        <v>102</v>
      </c>
      <c r="Z10" s="8" t="s">
        <v>103</v>
      </c>
      <c r="AA10" s="8" t="s">
        <v>104</v>
      </c>
      <c r="AB10" s="8" t="s">
        <v>105</v>
      </c>
      <c r="AC10" s="8" t="s">
        <v>106</v>
      </c>
      <c r="AD10" s="8" t="s">
        <v>107</v>
      </c>
      <c r="AE10" s="8" t="s">
        <v>108</v>
      </c>
      <c r="AF10" s="8" t="s">
        <v>109</v>
      </c>
      <c r="AG10" s="8" t="s">
        <v>110</v>
      </c>
      <c r="AH10" s="8" t="s">
        <v>111</v>
      </c>
      <c r="AI10" s="8" t="s">
        <v>112</v>
      </c>
      <c r="AJ10" s="8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8" t="s">
        <v>123</v>
      </c>
      <c r="AU10" s="8" t="s">
        <v>124</v>
      </c>
      <c r="AV10" s="8" t="s">
        <v>125</v>
      </c>
      <c r="AW10" s="8" t="s">
        <v>126</v>
      </c>
      <c r="AX10" s="8" t="s">
        <v>127</v>
      </c>
      <c r="AY10" s="8" t="s">
        <v>128</v>
      </c>
      <c r="AZ10" s="7" t="s">
        <v>129</v>
      </c>
      <c r="BA10" s="7" t="s">
        <v>130</v>
      </c>
      <c r="BB10" s="7" t="s">
        <v>131</v>
      </c>
      <c r="BC10" s="7" t="s">
        <v>132</v>
      </c>
      <c r="BD10" s="7" t="s">
        <v>133</v>
      </c>
      <c r="BE10" s="7" t="s">
        <v>134</v>
      </c>
      <c r="BF10" s="7" t="s">
        <v>135</v>
      </c>
      <c r="BG10" s="7" t="s">
        <v>136</v>
      </c>
      <c r="BH10" s="8"/>
      <c r="BI10" s="8" t="s">
        <v>137</v>
      </c>
      <c r="BJ10" s="8" t="s">
        <v>138</v>
      </c>
      <c r="BK10" s="8" t="s">
        <v>139</v>
      </c>
      <c r="BL10" s="8" t="s">
        <v>140</v>
      </c>
      <c r="BM10" s="8" t="s">
        <v>141</v>
      </c>
      <c r="BN10" s="8" t="s">
        <v>142</v>
      </c>
      <c r="BO10" s="41"/>
    </row>
    <row r="11" spans="1:67" x14ac:dyDescent="0.2">
      <c r="A11" s="36"/>
      <c r="B11" s="6" t="s">
        <v>143</v>
      </c>
      <c r="C11" s="10" t="s">
        <v>144</v>
      </c>
      <c r="D11" s="10" t="s">
        <v>145</v>
      </c>
      <c r="E11" s="10" t="s">
        <v>146</v>
      </c>
      <c r="F11" s="10" t="s">
        <v>147</v>
      </c>
      <c r="G11" s="10" t="s">
        <v>148</v>
      </c>
      <c r="H11" s="10" t="s">
        <v>149</v>
      </c>
      <c r="I11" s="10" t="s">
        <v>150</v>
      </c>
      <c r="J11" s="10" t="s">
        <v>151</v>
      </c>
      <c r="K11" s="10" t="s">
        <v>152</v>
      </c>
      <c r="L11" s="10" t="s">
        <v>153</v>
      </c>
      <c r="M11" s="10" t="s">
        <v>154</v>
      </c>
      <c r="N11" s="10" t="s">
        <v>155</v>
      </c>
      <c r="O11" s="10" t="s">
        <v>156</v>
      </c>
      <c r="P11" s="10" t="s">
        <v>157</v>
      </c>
      <c r="Q11" s="10" t="s">
        <v>158</v>
      </c>
      <c r="R11" s="10" t="s">
        <v>159</v>
      </c>
      <c r="S11" s="10" t="s">
        <v>160</v>
      </c>
      <c r="T11" s="10" t="s">
        <v>161</v>
      </c>
      <c r="U11" s="10" t="s">
        <v>162</v>
      </c>
      <c r="V11" s="10" t="s">
        <v>163</v>
      </c>
      <c r="W11" s="10" t="s">
        <v>164</v>
      </c>
      <c r="X11" s="10" t="s">
        <v>165</v>
      </c>
      <c r="Y11" s="10" t="s">
        <v>166</v>
      </c>
      <c r="Z11" s="10" t="s">
        <v>167</v>
      </c>
      <c r="AA11" s="10" t="s">
        <v>168</v>
      </c>
      <c r="AB11" s="10" t="s">
        <v>169</v>
      </c>
      <c r="AC11" s="10" t="s">
        <v>170</v>
      </c>
      <c r="AD11" s="10" t="s">
        <v>171</v>
      </c>
      <c r="AE11" s="10" t="s">
        <v>172</v>
      </c>
      <c r="AF11" s="10" t="s">
        <v>173</v>
      </c>
      <c r="AG11" s="10" t="s">
        <v>174</v>
      </c>
      <c r="AH11" s="10" t="s">
        <v>175</v>
      </c>
      <c r="AI11" s="10" t="s">
        <v>176</v>
      </c>
      <c r="AJ11" s="10" t="s">
        <v>177</v>
      </c>
      <c r="AK11" s="10" t="s">
        <v>178</v>
      </c>
      <c r="AL11" s="10" t="s">
        <v>179</v>
      </c>
      <c r="AM11" s="10" t="s">
        <v>180</v>
      </c>
      <c r="AN11" s="10" t="s">
        <v>181</v>
      </c>
      <c r="AO11" s="10" t="s">
        <v>182</v>
      </c>
      <c r="AP11" s="10" t="s">
        <v>183</v>
      </c>
      <c r="AQ11" s="10" t="s">
        <v>184</v>
      </c>
      <c r="AR11" s="10" t="s">
        <v>185</v>
      </c>
      <c r="AS11" s="10" t="s">
        <v>186</v>
      </c>
      <c r="AT11" s="10" t="s">
        <v>187</v>
      </c>
      <c r="AU11" s="10" t="s">
        <v>188</v>
      </c>
      <c r="AV11" s="10" t="s">
        <v>189</v>
      </c>
      <c r="AW11" s="10" t="s">
        <v>190</v>
      </c>
      <c r="AX11" s="10" t="s">
        <v>191</v>
      </c>
      <c r="AY11" s="10" t="s">
        <v>192</v>
      </c>
      <c r="AZ11" s="10" t="s">
        <v>193</v>
      </c>
      <c r="BA11" s="10" t="s">
        <v>194</v>
      </c>
      <c r="BB11" s="10" t="s">
        <v>195</v>
      </c>
      <c r="BC11" s="10" t="s">
        <v>196</v>
      </c>
      <c r="BD11" s="10" t="s">
        <v>197</v>
      </c>
      <c r="BE11" s="10" t="s">
        <v>198</v>
      </c>
      <c r="BF11" s="10" t="s">
        <v>199</v>
      </c>
      <c r="BG11" s="10" t="s">
        <v>200</v>
      </c>
      <c r="BH11" s="10"/>
      <c r="BI11" s="10" t="s">
        <v>201</v>
      </c>
      <c r="BJ11" s="10" t="s">
        <v>202</v>
      </c>
      <c r="BK11" s="10" t="s">
        <v>203</v>
      </c>
      <c r="BL11" s="10" t="s">
        <v>204</v>
      </c>
      <c r="BM11" s="10" t="s">
        <v>205</v>
      </c>
      <c r="BN11" s="11" t="s">
        <v>206</v>
      </c>
      <c r="BO11" s="42"/>
    </row>
    <row r="12" spans="1:67" ht="15.75" x14ac:dyDescent="0.2">
      <c r="A12" s="43">
        <f>DATE(N6,K6,1)</f>
        <v>46327</v>
      </c>
      <c r="B12" s="4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3"/>
    </row>
    <row r="13" spans="1:67" ht="15.75" x14ac:dyDescent="0.2">
      <c r="A13" s="43">
        <f>A12+1</f>
        <v>46328</v>
      </c>
      <c r="B13" s="4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spans="1:67" ht="15.75" x14ac:dyDescent="0.2">
      <c r="A14" s="43">
        <f t="shared" ref="A14:A39" si="0">A13+1</f>
        <v>46329</v>
      </c>
      <c r="B14" s="4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15.75" x14ac:dyDescent="0.2">
      <c r="A15" s="43">
        <f t="shared" si="0"/>
        <v>46330</v>
      </c>
      <c r="B15" s="4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spans="1:67" ht="15.75" x14ac:dyDescent="0.2">
      <c r="A16" s="43">
        <f t="shared" si="0"/>
        <v>46331</v>
      </c>
      <c r="B16" s="4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67" ht="15.75" x14ac:dyDescent="0.2">
      <c r="A17" s="43">
        <f t="shared" si="0"/>
        <v>46332</v>
      </c>
      <c r="B17" s="4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spans="1:67" ht="15.75" x14ac:dyDescent="0.2">
      <c r="A18" s="43">
        <f t="shared" si="0"/>
        <v>46333</v>
      </c>
      <c r="B18" s="4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spans="1:67" ht="15.75" x14ac:dyDescent="0.2">
      <c r="A19" s="43">
        <f t="shared" si="0"/>
        <v>46334</v>
      </c>
      <c r="B19" s="4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spans="1:67" ht="15.75" x14ac:dyDescent="0.2">
      <c r="A20" s="43">
        <f t="shared" si="0"/>
        <v>46335</v>
      </c>
      <c r="B20" s="4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spans="1:67" ht="15.75" x14ac:dyDescent="0.2">
      <c r="A21" s="43">
        <f t="shared" si="0"/>
        <v>46336</v>
      </c>
      <c r="B21" s="4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spans="1:67" ht="15.75" x14ac:dyDescent="0.2">
      <c r="A22" s="43">
        <f t="shared" si="0"/>
        <v>46337</v>
      </c>
      <c r="B22" s="4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spans="1:67" ht="15.75" x14ac:dyDescent="0.2">
      <c r="A23" s="43">
        <f t="shared" si="0"/>
        <v>46338</v>
      </c>
      <c r="B23" s="4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spans="1:67" ht="15.75" x14ac:dyDescent="0.2">
      <c r="A24" s="43">
        <f t="shared" si="0"/>
        <v>46339</v>
      </c>
      <c r="B24" s="4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spans="1:67" ht="15.75" x14ac:dyDescent="0.2">
      <c r="A25" s="43">
        <f t="shared" si="0"/>
        <v>46340</v>
      </c>
      <c r="B25" s="4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spans="1:67" ht="15.75" x14ac:dyDescent="0.2">
      <c r="A26" s="43">
        <f t="shared" si="0"/>
        <v>46341</v>
      </c>
      <c r="B26" s="4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spans="1:67" ht="15.75" x14ac:dyDescent="0.2">
      <c r="A27" s="43">
        <f t="shared" si="0"/>
        <v>46342</v>
      </c>
      <c r="B27" s="4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spans="1:67" ht="15.75" x14ac:dyDescent="0.2">
      <c r="A28" s="43">
        <f t="shared" si="0"/>
        <v>46343</v>
      </c>
      <c r="B28" s="4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spans="1:67" ht="15.75" x14ac:dyDescent="0.2">
      <c r="A29" s="43">
        <f t="shared" si="0"/>
        <v>46344</v>
      </c>
      <c r="B29" s="4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spans="1:67" ht="15.75" x14ac:dyDescent="0.2">
      <c r="A30" s="43">
        <f t="shared" si="0"/>
        <v>46345</v>
      </c>
      <c r="B30" s="4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spans="1:67" ht="15.75" x14ac:dyDescent="0.2">
      <c r="A31" s="43">
        <f t="shared" si="0"/>
        <v>46346</v>
      </c>
      <c r="B31" s="4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spans="1:67" ht="15.75" x14ac:dyDescent="0.2">
      <c r="A32" s="43">
        <f t="shared" si="0"/>
        <v>46347</v>
      </c>
      <c r="B32" s="4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spans="1:67" ht="15.75" x14ac:dyDescent="0.2">
      <c r="A33" s="43">
        <f t="shared" si="0"/>
        <v>46348</v>
      </c>
      <c r="B33" s="4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spans="1:67" ht="15.75" x14ac:dyDescent="0.2">
      <c r="A34" s="43">
        <f>A33+1</f>
        <v>46349</v>
      </c>
      <c r="B34" s="4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spans="1:67" ht="15.75" x14ac:dyDescent="0.2">
      <c r="A35" s="43">
        <f t="shared" si="0"/>
        <v>46350</v>
      </c>
      <c r="B35" s="4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spans="1:67" ht="15.75" x14ac:dyDescent="0.2">
      <c r="A36" s="43">
        <f t="shared" si="0"/>
        <v>46351</v>
      </c>
      <c r="B36" s="4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spans="1:67" ht="15.75" x14ac:dyDescent="0.2">
      <c r="A37" s="43">
        <f t="shared" si="0"/>
        <v>46352</v>
      </c>
      <c r="B37" s="4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spans="1:67" ht="15.75" x14ac:dyDescent="0.2">
      <c r="A38" s="43">
        <f t="shared" si="0"/>
        <v>46353</v>
      </c>
      <c r="B38" s="4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spans="1:67" ht="15.75" x14ac:dyDescent="0.2">
      <c r="A39" s="43">
        <f t="shared" si="0"/>
        <v>46354</v>
      </c>
      <c r="B39" s="4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spans="1:67" ht="15.75" x14ac:dyDescent="0.2">
      <c r="A40" s="43">
        <f>IF(A39="","",IF(A39=EOMONTH(DATE($N$6,$K$6,1),0),"",A39+1))</f>
        <v>46355</v>
      </c>
      <c r="B40" s="4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spans="1:67" ht="15.75" x14ac:dyDescent="0.2">
      <c r="A41" s="43">
        <f>IF(A40="","",IF(A40=EOMONTH(DATE($N$6,$K$6,1),0),"",A40+1))</f>
        <v>46356</v>
      </c>
      <c r="B41" s="4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spans="1:67" ht="15.75" x14ac:dyDescent="0.2">
      <c r="A42" s="43" t="str">
        <f>IF(A41="","",IF(A41=EOMONTH(DATE($N$6,$K$6,1),0),"",A41+1))</f>
        <v/>
      </c>
      <c r="B42" s="4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spans="1:67" ht="13.5" x14ac:dyDescent="0.25">
      <c r="A43" s="14" t="s">
        <v>207</v>
      </c>
      <c r="B43" s="45" t="s">
        <v>208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</row>
    <row r="44" spans="1:67" x14ac:dyDescent="0.2">
      <c r="A44" s="16"/>
      <c r="B44" s="15" t="s">
        <v>209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 t="s">
        <v>210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7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44"/>
  <sheetViews>
    <sheetView zoomScale="70" zoomScaleNormal="70" workbookViewId="0">
      <selection activeCell="K39" sqref="K39"/>
    </sheetView>
  </sheetViews>
  <sheetFormatPr defaultRowHeight="12.75" x14ac:dyDescent="0.2"/>
  <cols>
    <col min="1" max="2" width="23.5" bestFit="1" customWidth="1"/>
    <col min="3" max="3" width="35.6640625" bestFit="1" customWidth="1"/>
    <col min="4" max="4" width="36.33203125" bestFit="1" customWidth="1"/>
    <col min="5" max="5" width="31.6640625" bestFit="1" customWidth="1"/>
    <col min="6" max="6" width="31.83203125" bestFit="1" customWidth="1"/>
    <col min="7" max="7" width="25.83203125" bestFit="1" customWidth="1"/>
    <col min="8" max="8" width="27.5" bestFit="1" customWidth="1"/>
    <col min="9" max="9" width="25.33203125" bestFit="1" customWidth="1"/>
    <col min="10" max="10" width="22.83203125" bestFit="1" customWidth="1"/>
    <col min="11" max="11" width="35.33203125" bestFit="1" customWidth="1"/>
    <col min="12" max="12" width="22.83203125" bestFit="1" customWidth="1"/>
    <col min="13" max="13" width="30.1640625" bestFit="1" customWidth="1"/>
    <col min="14" max="14" width="38.5" bestFit="1" customWidth="1"/>
    <col min="15" max="15" width="41.6640625" bestFit="1" customWidth="1"/>
    <col min="16" max="16" width="28.33203125" bestFit="1" customWidth="1"/>
    <col min="17" max="17" width="40.1640625" bestFit="1" customWidth="1"/>
    <col min="18" max="18" width="31.33203125" bestFit="1" customWidth="1"/>
    <col min="19" max="19" width="40.6640625" bestFit="1" customWidth="1"/>
    <col min="20" max="20" width="36.33203125" bestFit="1" customWidth="1"/>
    <col min="21" max="21" width="39.6640625" bestFit="1" customWidth="1"/>
    <col min="22" max="22" width="43.33203125" bestFit="1" customWidth="1"/>
    <col min="23" max="23" width="31.33203125" bestFit="1" customWidth="1"/>
    <col min="24" max="24" width="30.1640625" bestFit="1" customWidth="1"/>
    <col min="25" max="25" width="32.83203125" bestFit="1" customWidth="1"/>
    <col min="26" max="26" width="37" bestFit="1" customWidth="1"/>
    <col min="27" max="27" width="28.5" bestFit="1" customWidth="1"/>
    <col min="28" max="28" width="42.33203125" bestFit="1" customWidth="1"/>
    <col min="29" max="29" width="40.1640625" bestFit="1" customWidth="1"/>
    <col min="30" max="30" width="32.83203125" bestFit="1" customWidth="1"/>
    <col min="31" max="31" width="44" bestFit="1" customWidth="1"/>
    <col min="32" max="32" width="40.83203125" bestFit="1" customWidth="1"/>
    <col min="33" max="33" width="23" bestFit="1" customWidth="1"/>
    <col min="34" max="34" width="29.1640625" bestFit="1" customWidth="1"/>
    <col min="35" max="35" width="36.83203125" bestFit="1" customWidth="1"/>
    <col min="36" max="36" width="42.5" bestFit="1" customWidth="1"/>
    <col min="37" max="37" width="40.6640625" bestFit="1" customWidth="1"/>
    <col min="38" max="38" width="37.5" bestFit="1" customWidth="1"/>
    <col min="39" max="39" width="32.5" bestFit="1" customWidth="1"/>
    <col min="40" max="40" width="30.6640625" bestFit="1" customWidth="1"/>
    <col min="41" max="41" width="25.1640625" bestFit="1" customWidth="1"/>
    <col min="42" max="42" width="30" bestFit="1" customWidth="1"/>
    <col min="43" max="43" width="30.1640625" bestFit="1" customWidth="1"/>
    <col min="44" max="44" width="27.33203125" bestFit="1" customWidth="1"/>
    <col min="45" max="45" width="29" bestFit="1" customWidth="1"/>
    <col min="46" max="46" width="44.6640625" bestFit="1" customWidth="1"/>
    <col min="47" max="47" width="45.83203125" bestFit="1" customWidth="1"/>
    <col min="48" max="48" width="29.6640625" bestFit="1" customWidth="1"/>
    <col min="49" max="49" width="30.1640625" bestFit="1" customWidth="1"/>
    <col min="50" max="51" width="24.6640625" bestFit="1" customWidth="1"/>
    <col min="52" max="52" width="31.33203125" bestFit="1" customWidth="1"/>
    <col min="53" max="53" width="32.83203125" bestFit="1" customWidth="1"/>
    <col min="54" max="54" width="43.33203125" bestFit="1" customWidth="1"/>
    <col min="55" max="55" width="30.1640625" bestFit="1" customWidth="1"/>
    <col min="56" max="56" width="36.33203125" bestFit="1" customWidth="1"/>
    <col min="57" max="57" width="17.5" bestFit="1" customWidth="1"/>
    <col min="58" max="58" width="33.6640625" bestFit="1" customWidth="1"/>
    <col min="59" max="59" width="41.33203125" bestFit="1" customWidth="1"/>
    <col min="60" max="60" width="6.83203125" bestFit="1" customWidth="1"/>
    <col min="61" max="61" width="28.6640625" bestFit="1" customWidth="1"/>
    <col min="62" max="62" width="29.1640625" bestFit="1" customWidth="1"/>
    <col min="63" max="63" width="28" bestFit="1" customWidth="1"/>
    <col min="64" max="64" width="28.6640625" bestFit="1" customWidth="1"/>
    <col min="65" max="65" width="38" bestFit="1" customWidth="1"/>
    <col min="66" max="66" width="35" bestFit="1" customWidth="1"/>
    <col min="67" max="67" width="14.6640625" bestFit="1" customWidth="1"/>
  </cols>
  <sheetData>
    <row r="1" spans="1:67" x14ac:dyDescent="0.2">
      <c r="A1" s="17" t="s">
        <v>0</v>
      </c>
      <c r="B1" s="18" t="s">
        <v>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7" t="s">
        <v>2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9"/>
    </row>
    <row r="2" spans="1:67" x14ac:dyDescent="0.2">
      <c r="A2" s="17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3"/>
      <c r="N2" s="27" t="s">
        <v>3</v>
      </c>
      <c r="O2" s="28"/>
      <c r="P2" s="29"/>
      <c r="Q2" s="27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9"/>
      <c r="BO2" s="1" t="s">
        <v>4</v>
      </c>
    </row>
    <row r="3" spans="1:67" x14ac:dyDescent="0.2">
      <c r="A3" s="17"/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6"/>
      <c r="N3" s="27" t="s">
        <v>5</v>
      </c>
      <c r="O3" s="28"/>
      <c r="P3" s="29"/>
      <c r="Q3" s="27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9"/>
      <c r="BO3" s="1" t="s">
        <v>6</v>
      </c>
    </row>
    <row r="4" spans="1:67" x14ac:dyDescent="0.2">
      <c r="A4" s="30" t="s">
        <v>7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2"/>
    </row>
    <row r="5" spans="1:67" ht="18.75" x14ac:dyDescent="0.2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</row>
    <row r="6" spans="1:67" ht="15.75" x14ac:dyDescent="0.25">
      <c r="A6" s="2" t="s">
        <v>8</v>
      </c>
      <c r="B6" s="3"/>
      <c r="C6" s="3"/>
      <c r="D6" s="3"/>
      <c r="E6" s="3"/>
      <c r="F6" s="3"/>
      <c r="G6" s="3"/>
      <c r="H6" s="3"/>
      <c r="I6" s="3"/>
      <c r="J6" s="3" t="s">
        <v>9</v>
      </c>
      <c r="K6" s="3">
        <v>12</v>
      </c>
      <c r="L6" s="3"/>
      <c r="M6" s="3" t="s">
        <v>10</v>
      </c>
      <c r="N6" s="34">
        <v>2026</v>
      </c>
      <c r="O6" s="3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</row>
    <row r="7" spans="1:67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</row>
    <row r="8" spans="1:67" ht="15.75" x14ac:dyDescent="0.25">
      <c r="A8" s="35" t="s">
        <v>11</v>
      </c>
      <c r="B8" s="37" t="s">
        <v>12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9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0" t="s">
        <v>13</v>
      </c>
    </row>
    <row r="9" spans="1:67" x14ac:dyDescent="0.2">
      <c r="A9" s="35"/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5" t="s">
        <v>23</v>
      </c>
      <c r="L9" s="5" t="s">
        <v>24</v>
      </c>
      <c r="M9" s="5" t="s">
        <v>25</v>
      </c>
      <c r="N9" s="5" t="s">
        <v>26</v>
      </c>
      <c r="O9" s="5" t="s">
        <v>27</v>
      </c>
      <c r="P9" s="5" t="s">
        <v>28</v>
      </c>
      <c r="Q9" s="5" t="s">
        <v>29</v>
      </c>
      <c r="R9" s="5" t="s">
        <v>30</v>
      </c>
      <c r="S9" s="5" t="s">
        <v>31</v>
      </c>
      <c r="T9" s="5" t="s">
        <v>32</v>
      </c>
      <c r="U9" s="5" t="s">
        <v>33</v>
      </c>
      <c r="V9" s="5" t="s">
        <v>34</v>
      </c>
      <c r="W9" s="5" t="s">
        <v>35</v>
      </c>
      <c r="X9" s="5" t="s">
        <v>36</v>
      </c>
      <c r="Y9" s="5" t="s">
        <v>37</v>
      </c>
      <c r="Z9" s="5" t="s">
        <v>38</v>
      </c>
      <c r="AA9" s="5" t="s">
        <v>39</v>
      </c>
      <c r="AB9" s="5" t="s">
        <v>40</v>
      </c>
      <c r="AC9" s="5" t="s">
        <v>41</v>
      </c>
      <c r="AD9" s="5" t="s">
        <v>42</v>
      </c>
      <c r="AE9" s="5" t="s">
        <v>43</v>
      </c>
      <c r="AF9" s="5" t="s">
        <v>44</v>
      </c>
      <c r="AG9" s="5" t="s">
        <v>45</v>
      </c>
      <c r="AH9" s="5" t="s">
        <v>46</v>
      </c>
      <c r="AI9" s="5" t="s">
        <v>47</v>
      </c>
      <c r="AJ9" s="5" t="s">
        <v>48</v>
      </c>
      <c r="AK9" s="5" t="s">
        <v>49</v>
      </c>
      <c r="AL9" s="5" t="s">
        <v>50</v>
      </c>
      <c r="AM9" s="5" t="s">
        <v>51</v>
      </c>
      <c r="AN9" s="5" t="s">
        <v>52</v>
      </c>
      <c r="AO9" s="5" t="s">
        <v>53</v>
      </c>
      <c r="AP9" s="5" t="s">
        <v>54</v>
      </c>
      <c r="AQ9" s="5" t="s">
        <v>55</v>
      </c>
      <c r="AR9" s="5" t="s">
        <v>56</v>
      </c>
      <c r="AS9" s="5" t="s">
        <v>57</v>
      </c>
      <c r="AT9" s="5" t="s">
        <v>58</v>
      </c>
      <c r="AU9" s="5" t="s">
        <v>59</v>
      </c>
      <c r="AV9" s="5" t="s">
        <v>60</v>
      </c>
      <c r="AW9" s="5" t="s">
        <v>61</v>
      </c>
      <c r="AX9" s="5" t="s">
        <v>62</v>
      </c>
      <c r="AY9" s="5" t="s">
        <v>63</v>
      </c>
      <c r="AZ9" s="5" t="s">
        <v>64</v>
      </c>
      <c r="BA9" s="5" t="s">
        <v>65</v>
      </c>
      <c r="BB9" s="5" t="s">
        <v>66</v>
      </c>
      <c r="BC9" s="5" t="s">
        <v>67</v>
      </c>
      <c r="BD9" s="5" t="s">
        <v>68</v>
      </c>
      <c r="BE9" s="5" t="s">
        <v>69</v>
      </c>
      <c r="BF9" s="5" t="s">
        <v>70</v>
      </c>
      <c r="BG9" s="5" t="s">
        <v>71</v>
      </c>
      <c r="BH9" s="5" t="s">
        <v>72</v>
      </c>
      <c r="BI9" s="5" t="s">
        <v>73</v>
      </c>
      <c r="BJ9" s="5" t="s">
        <v>74</v>
      </c>
      <c r="BK9" s="5" t="s">
        <v>75</v>
      </c>
      <c r="BL9" s="5" t="s">
        <v>76</v>
      </c>
      <c r="BM9" s="5" t="s">
        <v>77</v>
      </c>
      <c r="BN9" s="5" t="s">
        <v>78</v>
      </c>
      <c r="BO9" s="41"/>
    </row>
    <row r="10" spans="1:67" ht="15" x14ac:dyDescent="0.25">
      <c r="A10" s="35"/>
      <c r="B10" s="6" t="s">
        <v>79</v>
      </c>
      <c r="C10" s="7" t="s">
        <v>80</v>
      </c>
      <c r="D10" s="7" t="s">
        <v>81</v>
      </c>
      <c r="E10" s="8" t="s">
        <v>82</v>
      </c>
      <c r="F10" s="8" t="s">
        <v>83</v>
      </c>
      <c r="G10" s="8" t="s">
        <v>84</v>
      </c>
      <c r="H10" s="8" t="s">
        <v>85</v>
      </c>
      <c r="I10" s="7" t="s">
        <v>86</v>
      </c>
      <c r="J10" s="8" t="s">
        <v>87</v>
      </c>
      <c r="K10" s="8" t="s">
        <v>88</v>
      </c>
      <c r="L10" s="8" t="s">
        <v>89</v>
      </c>
      <c r="M10" s="8" t="s">
        <v>90</v>
      </c>
      <c r="N10" s="8" t="s">
        <v>91</v>
      </c>
      <c r="O10" s="8" t="s">
        <v>92</v>
      </c>
      <c r="P10" s="8" t="s">
        <v>93</v>
      </c>
      <c r="Q10" s="8" t="s">
        <v>94</v>
      </c>
      <c r="R10" s="8" t="s">
        <v>95</v>
      </c>
      <c r="S10" s="9" t="s">
        <v>96</v>
      </c>
      <c r="T10" s="8" t="s">
        <v>97</v>
      </c>
      <c r="U10" s="8" t="s">
        <v>98</v>
      </c>
      <c r="V10" s="8" t="s">
        <v>99</v>
      </c>
      <c r="W10" s="8" t="s">
        <v>100</v>
      </c>
      <c r="X10" s="8" t="s">
        <v>101</v>
      </c>
      <c r="Y10" s="8" t="s">
        <v>102</v>
      </c>
      <c r="Z10" s="8" t="s">
        <v>103</v>
      </c>
      <c r="AA10" s="8" t="s">
        <v>104</v>
      </c>
      <c r="AB10" s="8" t="s">
        <v>105</v>
      </c>
      <c r="AC10" s="8" t="s">
        <v>106</v>
      </c>
      <c r="AD10" s="8" t="s">
        <v>107</v>
      </c>
      <c r="AE10" s="8" t="s">
        <v>108</v>
      </c>
      <c r="AF10" s="8" t="s">
        <v>109</v>
      </c>
      <c r="AG10" s="8" t="s">
        <v>110</v>
      </c>
      <c r="AH10" s="8" t="s">
        <v>111</v>
      </c>
      <c r="AI10" s="8" t="s">
        <v>112</v>
      </c>
      <c r="AJ10" s="8" t="s">
        <v>113</v>
      </c>
      <c r="AK10" s="8" t="s">
        <v>114</v>
      </c>
      <c r="AL10" s="8" t="s">
        <v>115</v>
      </c>
      <c r="AM10" s="8" t="s">
        <v>116</v>
      </c>
      <c r="AN10" s="8" t="s">
        <v>117</v>
      </c>
      <c r="AO10" s="8" t="s">
        <v>118</v>
      </c>
      <c r="AP10" s="8" t="s">
        <v>119</v>
      </c>
      <c r="AQ10" s="8" t="s">
        <v>120</v>
      </c>
      <c r="AR10" s="8" t="s">
        <v>121</v>
      </c>
      <c r="AS10" s="8" t="s">
        <v>122</v>
      </c>
      <c r="AT10" s="8" t="s">
        <v>123</v>
      </c>
      <c r="AU10" s="8" t="s">
        <v>124</v>
      </c>
      <c r="AV10" s="8" t="s">
        <v>125</v>
      </c>
      <c r="AW10" s="8" t="s">
        <v>126</v>
      </c>
      <c r="AX10" s="8" t="s">
        <v>127</v>
      </c>
      <c r="AY10" s="8" t="s">
        <v>128</v>
      </c>
      <c r="AZ10" s="7" t="s">
        <v>129</v>
      </c>
      <c r="BA10" s="7" t="s">
        <v>130</v>
      </c>
      <c r="BB10" s="7" t="s">
        <v>131</v>
      </c>
      <c r="BC10" s="7" t="s">
        <v>132</v>
      </c>
      <c r="BD10" s="7" t="s">
        <v>133</v>
      </c>
      <c r="BE10" s="7" t="s">
        <v>134</v>
      </c>
      <c r="BF10" s="7" t="s">
        <v>135</v>
      </c>
      <c r="BG10" s="7" t="s">
        <v>136</v>
      </c>
      <c r="BH10" s="8"/>
      <c r="BI10" s="8" t="s">
        <v>137</v>
      </c>
      <c r="BJ10" s="8" t="s">
        <v>138</v>
      </c>
      <c r="BK10" s="8" t="s">
        <v>139</v>
      </c>
      <c r="BL10" s="8" t="s">
        <v>140</v>
      </c>
      <c r="BM10" s="8" t="s">
        <v>141</v>
      </c>
      <c r="BN10" s="8" t="s">
        <v>142</v>
      </c>
      <c r="BO10" s="41"/>
    </row>
    <row r="11" spans="1:67" x14ac:dyDescent="0.2">
      <c r="A11" s="36"/>
      <c r="B11" s="6" t="s">
        <v>143</v>
      </c>
      <c r="C11" s="10" t="s">
        <v>144</v>
      </c>
      <c r="D11" s="10" t="s">
        <v>145</v>
      </c>
      <c r="E11" s="10" t="s">
        <v>146</v>
      </c>
      <c r="F11" s="10" t="s">
        <v>147</v>
      </c>
      <c r="G11" s="10" t="s">
        <v>148</v>
      </c>
      <c r="H11" s="10" t="s">
        <v>149</v>
      </c>
      <c r="I11" s="10" t="s">
        <v>150</v>
      </c>
      <c r="J11" s="10" t="s">
        <v>151</v>
      </c>
      <c r="K11" s="10" t="s">
        <v>152</v>
      </c>
      <c r="L11" s="10" t="s">
        <v>153</v>
      </c>
      <c r="M11" s="10" t="s">
        <v>154</v>
      </c>
      <c r="N11" s="10" t="s">
        <v>155</v>
      </c>
      <c r="O11" s="10" t="s">
        <v>156</v>
      </c>
      <c r="P11" s="10" t="s">
        <v>157</v>
      </c>
      <c r="Q11" s="10" t="s">
        <v>158</v>
      </c>
      <c r="R11" s="10" t="s">
        <v>159</v>
      </c>
      <c r="S11" s="10" t="s">
        <v>160</v>
      </c>
      <c r="T11" s="10" t="s">
        <v>161</v>
      </c>
      <c r="U11" s="10" t="s">
        <v>162</v>
      </c>
      <c r="V11" s="10" t="s">
        <v>163</v>
      </c>
      <c r="W11" s="10" t="s">
        <v>164</v>
      </c>
      <c r="X11" s="10" t="s">
        <v>165</v>
      </c>
      <c r="Y11" s="10" t="s">
        <v>166</v>
      </c>
      <c r="Z11" s="10" t="s">
        <v>167</v>
      </c>
      <c r="AA11" s="10" t="s">
        <v>168</v>
      </c>
      <c r="AB11" s="10" t="s">
        <v>169</v>
      </c>
      <c r="AC11" s="10" t="s">
        <v>170</v>
      </c>
      <c r="AD11" s="10" t="s">
        <v>171</v>
      </c>
      <c r="AE11" s="10" t="s">
        <v>172</v>
      </c>
      <c r="AF11" s="10" t="s">
        <v>173</v>
      </c>
      <c r="AG11" s="10" t="s">
        <v>174</v>
      </c>
      <c r="AH11" s="10" t="s">
        <v>175</v>
      </c>
      <c r="AI11" s="10" t="s">
        <v>176</v>
      </c>
      <c r="AJ11" s="10" t="s">
        <v>177</v>
      </c>
      <c r="AK11" s="10" t="s">
        <v>178</v>
      </c>
      <c r="AL11" s="10" t="s">
        <v>179</v>
      </c>
      <c r="AM11" s="10" t="s">
        <v>180</v>
      </c>
      <c r="AN11" s="10" t="s">
        <v>181</v>
      </c>
      <c r="AO11" s="10" t="s">
        <v>182</v>
      </c>
      <c r="AP11" s="10" t="s">
        <v>183</v>
      </c>
      <c r="AQ11" s="10" t="s">
        <v>184</v>
      </c>
      <c r="AR11" s="10" t="s">
        <v>185</v>
      </c>
      <c r="AS11" s="10" t="s">
        <v>186</v>
      </c>
      <c r="AT11" s="10" t="s">
        <v>187</v>
      </c>
      <c r="AU11" s="10" t="s">
        <v>188</v>
      </c>
      <c r="AV11" s="10" t="s">
        <v>189</v>
      </c>
      <c r="AW11" s="10" t="s">
        <v>190</v>
      </c>
      <c r="AX11" s="10" t="s">
        <v>191</v>
      </c>
      <c r="AY11" s="10" t="s">
        <v>192</v>
      </c>
      <c r="AZ11" s="10" t="s">
        <v>193</v>
      </c>
      <c r="BA11" s="10" t="s">
        <v>194</v>
      </c>
      <c r="BB11" s="10" t="s">
        <v>195</v>
      </c>
      <c r="BC11" s="10" t="s">
        <v>196</v>
      </c>
      <c r="BD11" s="10" t="s">
        <v>197</v>
      </c>
      <c r="BE11" s="10" t="s">
        <v>198</v>
      </c>
      <c r="BF11" s="10" t="s">
        <v>199</v>
      </c>
      <c r="BG11" s="10" t="s">
        <v>200</v>
      </c>
      <c r="BH11" s="10"/>
      <c r="BI11" s="10" t="s">
        <v>201</v>
      </c>
      <c r="BJ11" s="10" t="s">
        <v>202</v>
      </c>
      <c r="BK11" s="10" t="s">
        <v>203</v>
      </c>
      <c r="BL11" s="10" t="s">
        <v>204</v>
      </c>
      <c r="BM11" s="10" t="s">
        <v>205</v>
      </c>
      <c r="BN11" s="11" t="s">
        <v>206</v>
      </c>
      <c r="BO11" s="42"/>
    </row>
    <row r="12" spans="1:67" ht="15.75" x14ac:dyDescent="0.2">
      <c r="A12" s="43">
        <f>DATE(N6,K6,1)</f>
        <v>46357</v>
      </c>
      <c r="B12" s="4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3"/>
    </row>
    <row r="13" spans="1:67" ht="15.75" x14ac:dyDescent="0.2">
      <c r="A13" s="43">
        <f>A12+1</f>
        <v>46358</v>
      </c>
      <c r="B13" s="4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spans="1:67" ht="15.75" x14ac:dyDescent="0.2">
      <c r="A14" s="43">
        <f t="shared" ref="A14:A39" si="0">A13+1</f>
        <v>46359</v>
      </c>
      <c r="B14" s="4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15.75" x14ac:dyDescent="0.2">
      <c r="A15" s="43">
        <f t="shared" si="0"/>
        <v>46360</v>
      </c>
      <c r="B15" s="4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spans="1:67" ht="15.75" x14ac:dyDescent="0.2">
      <c r="A16" s="43">
        <f t="shared" si="0"/>
        <v>46361</v>
      </c>
      <c r="B16" s="4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67" ht="15.75" x14ac:dyDescent="0.2">
      <c r="A17" s="43">
        <f t="shared" si="0"/>
        <v>46362</v>
      </c>
      <c r="B17" s="4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spans="1:67" ht="15.75" x14ac:dyDescent="0.2">
      <c r="A18" s="43">
        <f t="shared" si="0"/>
        <v>46363</v>
      </c>
      <c r="B18" s="4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spans="1:67" ht="15.75" x14ac:dyDescent="0.2">
      <c r="A19" s="43">
        <f t="shared" si="0"/>
        <v>46364</v>
      </c>
      <c r="B19" s="4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spans="1:67" ht="15.75" x14ac:dyDescent="0.2">
      <c r="A20" s="43">
        <f t="shared" si="0"/>
        <v>46365</v>
      </c>
      <c r="B20" s="4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spans="1:67" ht="15.75" x14ac:dyDescent="0.2">
      <c r="A21" s="43">
        <f t="shared" si="0"/>
        <v>46366</v>
      </c>
      <c r="B21" s="4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spans="1:67" ht="15.75" x14ac:dyDescent="0.2">
      <c r="A22" s="43">
        <f t="shared" si="0"/>
        <v>46367</v>
      </c>
      <c r="B22" s="4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spans="1:67" ht="15.75" x14ac:dyDescent="0.2">
      <c r="A23" s="43">
        <f t="shared" si="0"/>
        <v>46368</v>
      </c>
      <c r="B23" s="4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spans="1:67" ht="15.75" x14ac:dyDescent="0.2">
      <c r="A24" s="43">
        <f t="shared" si="0"/>
        <v>46369</v>
      </c>
      <c r="B24" s="4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spans="1:67" ht="15.75" x14ac:dyDescent="0.2">
      <c r="A25" s="43">
        <f t="shared" si="0"/>
        <v>46370</v>
      </c>
      <c r="B25" s="4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spans="1:67" ht="15.75" x14ac:dyDescent="0.2">
      <c r="A26" s="43">
        <f t="shared" si="0"/>
        <v>46371</v>
      </c>
      <c r="B26" s="4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spans="1:67" ht="15.75" x14ac:dyDescent="0.2">
      <c r="A27" s="43">
        <f t="shared" si="0"/>
        <v>46372</v>
      </c>
      <c r="B27" s="4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spans="1:67" ht="15.75" x14ac:dyDescent="0.2">
      <c r="A28" s="43">
        <f t="shared" si="0"/>
        <v>46373</v>
      </c>
      <c r="B28" s="4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spans="1:67" ht="15.75" x14ac:dyDescent="0.2">
      <c r="A29" s="43">
        <f t="shared" si="0"/>
        <v>46374</v>
      </c>
      <c r="B29" s="4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spans="1:67" ht="15.75" x14ac:dyDescent="0.2">
      <c r="A30" s="43">
        <f t="shared" si="0"/>
        <v>46375</v>
      </c>
      <c r="B30" s="4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spans="1:67" ht="15.75" x14ac:dyDescent="0.2">
      <c r="A31" s="43">
        <f t="shared" si="0"/>
        <v>46376</v>
      </c>
      <c r="B31" s="4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spans="1:67" ht="15.75" x14ac:dyDescent="0.2">
      <c r="A32" s="43">
        <f t="shared" si="0"/>
        <v>46377</v>
      </c>
      <c r="B32" s="4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spans="1:67" ht="15.75" x14ac:dyDescent="0.2">
      <c r="A33" s="43">
        <f t="shared" si="0"/>
        <v>46378</v>
      </c>
      <c r="B33" s="4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spans="1:67" ht="15.75" x14ac:dyDescent="0.2">
      <c r="A34" s="43">
        <f>A33+1</f>
        <v>46379</v>
      </c>
      <c r="B34" s="4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spans="1:67" ht="15.75" x14ac:dyDescent="0.2">
      <c r="A35" s="43">
        <f t="shared" si="0"/>
        <v>46380</v>
      </c>
      <c r="B35" s="4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spans="1:67" ht="15.75" x14ac:dyDescent="0.2">
      <c r="A36" s="43">
        <f t="shared" si="0"/>
        <v>46381</v>
      </c>
      <c r="B36" s="4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spans="1:67" ht="15.75" x14ac:dyDescent="0.2">
      <c r="A37" s="43">
        <f t="shared" si="0"/>
        <v>46382</v>
      </c>
      <c r="B37" s="4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spans="1:67" ht="15.75" x14ac:dyDescent="0.2">
      <c r="A38" s="43">
        <f t="shared" si="0"/>
        <v>46383</v>
      </c>
      <c r="B38" s="4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spans="1:67" ht="15.75" x14ac:dyDescent="0.2">
      <c r="A39" s="43">
        <f t="shared" si="0"/>
        <v>46384</v>
      </c>
      <c r="B39" s="4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spans="1:67" ht="15.75" x14ac:dyDescent="0.2">
      <c r="A40" s="43">
        <f>IF(A39="","",IF(A39=EOMONTH(DATE($N$6,$K$6,1),0),"",A39+1))</f>
        <v>46385</v>
      </c>
      <c r="B40" s="4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spans="1:67" ht="15.75" x14ac:dyDescent="0.2">
      <c r="A41" s="43">
        <f>IF(A40="","",IF(A40=EOMONTH(DATE($N$6,$K$6,1),0),"",A40+1))</f>
        <v>46386</v>
      </c>
      <c r="B41" s="4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spans="1:67" ht="15.75" x14ac:dyDescent="0.2">
      <c r="A42" s="43">
        <f>IF(A41="","",IF(A41=EOMONTH(DATE($N$6,$K$6,1),0),"",A41+1))</f>
        <v>46387</v>
      </c>
      <c r="B42" s="4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spans="1:67" ht="13.5" x14ac:dyDescent="0.25">
      <c r="A43" s="14" t="s">
        <v>207</v>
      </c>
      <c r="B43" s="45" t="s">
        <v>208</v>
      </c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</row>
    <row r="44" spans="1:67" x14ac:dyDescent="0.2">
      <c r="A44" s="16"/>
      <c r="B44" s="15" t="s">
        <v>209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 t="s">
        <v>210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</row>
  </sheetData>
  <mergeCells count="45">
    <mergeCell ref="A42:B42"/>
    <mergeCell ref="B43:N43"/>
    <mergeCell ref="A36:B36"/>
    <mergeCell ref="A37:B37"/>
    <mergeCell ref="A38:B38"/>
    <mergeCell ref="A39:B39"/>
    <mergeCell ref="A40:B40"/>
    <mergeCell ref="A41:B41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:BO4"/>
    <mergeCell ref="A5:BO5"/>
    <mergeCell ref="N6:O6"/>
    <mergeCell ref="A8:A11"/>
    <mergeCell ref="B8:P8"/>
    <mergeCell ref="BO8:BO11"/>
    <mergeCell ref="A1:A3"/>
    <mergeCell ref="B1:M3"/>
    <mergeCell ref="N1:BO1"/>
    <mergeCell ref="N2:P2"/>
    <mergeCell ref="Q2:BN2"/>
    <mergeCell ref="N3:P3"/>
    <mergeCell ref="Q3:BN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1" r:id="rId3" name="Spinner 3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4" name="Spinner 4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Tháng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2025-12-01T09:15:21Z</dcterms:created>
  <dcterms:modified xsi:type="dcterms:W3CDTF">2026-04-04T08:11:28Z</dcterms:modified>
</cp:coreProperties>
</file>