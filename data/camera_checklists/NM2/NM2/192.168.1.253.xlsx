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drawings/drawing2.xml" ContentType="application/vnd.openxmlformats-officedocument.drawing+xml"/>
  <Override PartName="/xl/ctrlProps/ctrlProp3.xml" ContentType="application/vnd.ms-excel.controlproperties+xml"/>
  <Override PartName="/xl/ctrlProps/ctrlProp4.xml" ContentType="application/vnd.ms-excel.controlproperties+xml"/>
  <Override PartName="/xl/drawings/drawing3.xml" ContentType="application/vnd.openxmlformats-officedocument.drawing+xml"/>
  <Override PartName="/xl/ctrlProps/ctrlProp5.xml" ContentType="application/vnd.ms-excel.controlproperties+xml"/>
  <Override PartName="/xl/ctrlProps/ctrlProp6.xml" ContentType="application/vnd.ms-excel.controlproperties+xml"/>
  <Override PartName="/xl/drawings/drawing4.xml" ContentType="application/vnd.openxmlformats-officedocument.drawing+xml"/>
  <Override PartName="/xl/ctrlProps/ctrlProp7.xml" ContentType="application/vnd.ms-excel.controlproperties+xml"/>
  <Override PartName="/xl/ctrlProps/ctrlProp8.xml" ContentType="application/vnd.ms-excel.controlproperties+xml"/>
  <Override PartName="/xl/drawings/drawing5.xml" ContentType="application/vnd.openxmlformats-officedocument.drawing+xml"/>
  <Override PartName="/xl/ctrlProps/ctrlProp9.xml" ContentType="application/vnd.ms-excel.controlproperties+xml"/>
  <Override PartName="/xl/ctrlProps/ctrlProp10.xml" ContentType="application/vnd.ms-excel.controlproperties+xml"/>
  <Override PartName="/xl/drawings/drawing6.xml" ContentType="application/vnd.openxmlformats-officedocument.drawing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drawings/drawing7.xml" ContentType="application/vnd.openxmlformats-officedocument.drawing+xml"/>
  <Override PartName="/xl/ctrlProps/ctrlProp15.xml" ContentType="application/vnd.ms-excel.controlproperties+xml"/>
  <Override PartName="/xl/ctrlProps/ctrlProp16.xml" ContentType="application/vnd.ms-excel.controlproperties+xml"/>
  <Override PartName="/xl/drawings/drawing8.xml" ContentType="application/vnd.openxmlformats-officedocument.drawing+xml"/>
  <Override PartName="/xl/ctrlProps/ctrlProp17.xml" ContentType="application/vnd.ms-excel.controlproperties+xml"/>
  <Override PartName="/xl/ctrlProps/ctrlProp18.xml" ContentType="application/vnd.ms-excel.controlproperties+xml"/>
  <Override PartName="/xl/drawings/drawing9.xml" ContentType="application/vnd.openxmlformats-officedocument.drawing+xml"/>
  <Override PartName="/xl/ctrlProps/ctrlProp19.xml" ContentType="application/vnd.ms-excel.controlproperties+xml"/>
  <Override PartName="/xl/ctrlProps/ctrlProp20.xml" ContentType="application/vnd.ms-excel.controlproperties+xml"/>
  <Override PartName="/xl/drawings/drawing10.xml" ContentType="application/vnd.openxmlformats-officedocument.drawing+xml"/>
  <Override PartName="/xl/ctrlProps/ctrlProp21.xml" ContentType="application/vnd.ms-excel.controlproperties+xml"/>
  <Override PartName="/xl/ctrlProps/ctrlProp22.xml" ContentType="application/vnd.ms-excel.controlproperties+xml"/>
  <Override PartName="/xl/drawings/drawing11.xml" ContentType="application/vnd.openxmlformats-officedocument.drawing+xml"/>
  <Override PartName="/xl/ctrlProps/ctrlProp23.xml" ContentType="application/vnd.ms-excel.controlproperties+xml"/>
  <Override PartName="/xl/ctrlProps/ctrlProp24.xml" ContentType="application/vnd.ms-excel.controlproperties+xml"/>
  <Override PartName="/xl/drawings/drawing12.xml" ContentType="application/vnd.openxmlformats-officedocument.drawing+xml"/>
  <Override PartName="/xl/ctrlProps/ctrlProp25.xml" ContentType="application/vnd.ms-excel.controlproperties+xml"/>
  <Override PartName="/xl/ctrlProps/ctrlProp26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OneDrive - CONG TY CO PHAN THUC PHAM DAN ON\Dân Ôn Foods\THÁI\TỔNG CAMERA CÁC NHÀ MÁY\MP3TT-17-BMIT - Check list Camera Các Nhà Máy\Check list Tổng Các NM ( Năm 2026 )\MP3\NM2\"/>
    </mc:Choice>
  </mc:AlternateContent>
  <bookViews>
    <workbookView xWindow="0" yWindow="0" windowWidth="28800" windowHeight="12375" activeTab="3"/>
  </bookViews>
  <sheets>
    <sheet name="Tháng 1" sheetId="1" r:id="rId1"/>
    <sheet name="Tháng 2" sheetId="2" r:id="rId2"/>
    <sheet name="Tháng 3" sheetId="3" r:id="rId3"/>
    <sheet name="Tháng 4" sheetId="4" r:id="rId4"/>
    <sheet name="Tháng 5" sheetId="5" r:id="rId5"/>
    <sheet name="Tháng 6" sheetId="6" r:id="rId6"/>
    <sheet name="Tháng 7" sheetId="7" r:id="rId7"/>
    <sheet name="Tháng 8" sheetId="8" r:id="rId8"/>
    <sheet name="Tháng 9" sheetId="9" r:id="rId9"/>
    <sheet name="Tháng 10" sheetId="10" r:id="rId10"/>
    <sheet name="Tháng 11" sheetId="11" r:id="rId11"/>
    <sheet name="Tháng 12" sheetId="12" r:id="rId1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2" i="1" l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12" i="2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12" i="3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12" i="4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12" i="5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12" i="6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12" i="7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12" i="8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12" i="9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12" i="10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  <c r="A37" i="10" s="1"/>
  <c r="A38" i="10" s="1"/>
  <c r="A39" i="10" s="1"/>
  <c r="A40" i="10" s="1"/>
  <c r="A41" i="10" s="1"/>
  <c r="A42" i="10" s="1"/>
  <c r="A12" i="11" l="1"/>
  <c r="A13" i="11" s="1"/>
  <c r="A14" i="11" s="1"/>
  <c r="A15" i="11" s="1"/>
  <c r="A16" i="11" s="1"/>
  <c r="A17" i="11" s="1"/>
  <c r="A18" i="11" s="1"/>
  <c r="A19" i="11" s="1"/>
  <c r="A20" i="11" s="1"/>
  <c r="A21" i="11" s="1"/>
  <c r="A22" i="11" s="1"/>
  <c r="A23" i="11" s="1"/>
  <c r="A24" i="11" s="1"/>
  <c r="A25" i="11" s="1"/>
  <c r="A26" i="11" s="1"/>
  <c r="A27" i="11" s="1"/>
  <c r="A28" i="11" s="1"/>
  <c r="A29" i="11" s="1"/>
  <c r="A30" i="11" s="1"/>
  <c r="A31" i="11" s="1"/>
  <c r="A32" i="11" s="1"/>
  <c r="A33" i="11" s="1"/>
  <c r="A34" i="11" s="1"/>
  <c r="A35" i="11" s="1"/>
  <c r="A36" i="11" s="1"/>
  <c r="A37" i="11" s="1"/>
  <c r="A38" i="11" s="1"/>
  <c r="A39" i="11" s="1"/>
  <c r="A40" i="11" s="1"/>
  <c r="A41" i="11" s="1"/>
  <c r="A42" i="11" s="1"/>
  <c r="A12" i="12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39" i="12" s="1"/>
  <c r="A40" i="12" s="1"/>
  <c r="A41" i="12" s="1"/>
  <c r="A42" i="12" s="1"/>
</calcChain>
</file>

<file path=xl/sharedStrings.xml><?xml version="1.0" encoding="utf-8"?>
<sst xmlns="http://schemas.openxmlformats.org/spreadsheetml/2006/main" count="2508" uniqueCount="209">
  <si>
    <t>DOF CORP-MP3 Branch</t>
  </si>
  <si>
    <t>CHECK LIST CAMERA</t>
  </si>
  <si>
    <r>
      <t>Ký hiệu:</t>
    </r>
    <r>
      <rPr>
        <sz val="8"/>
        <rFont val="Times New Roman"/>
        <family val="1"/>
      </rPr>
      <t xml:space="preserve">  EP/QĐ-02-SSOP-05-BM-04</t>
    </r>
  </si>
  <si>
    <r>
      <t xml:space="preserve">Ngày ban hành: </t>
    </r>
    <r>
      <rPr>
        <sz val="8"/>
        <rFont val="Times New Roman"/>
        <family val="1"/>
      </rPr>
      <t>01/11/2024</t>
    </r>
  </si>
  <si>
    <r>
      <t>Lần sửa đổi:</t>
    </r>
    <r>
      <rPr>
        <sz val="8"/>
        <rFont val="Times New Roman"/>
        <family val="1"/>
      </rPr>
      <t xml:space="preserve"> 00</t>
    </r>
  </si>
  <si>
    <r>
      <t>BP biên soạn:</t>
    </r>
    <r>
      <rPr>
        <sz val="8"/>
        <rFont val="Times New Roman"/>
        <family val="1"/>
      </rPr>
      <t xml:space="preserve"> ĐATTP</t>
    </r>
  </si>
  <si>
    <t>Trang: 1/1</t>
  </si>
  <si>
    <t>ĐẦU GHI: 190.180.170.9 (NM2)</t>
  </si>
  <si>
    <t>Khu vực:  MP3</t>
  </si>
  <si>
    <t xml:space="preserve">Tháng </t>
  </si>
  <si>
    <t xml:space="preserve">Năm </t>
  </si>
  <si>
    <t>Ngày</t>
  </si>
  <si>
    <t>Mã số kính cần kiểm soát</t>
  </si>
  <si>
    <t>Ghi chú</t>
  </si>
  <si>
    <t>TT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</si>
  <si>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</si>
  <si>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</si>
  <si>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</si>
  <si>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</si>
  <si>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</si>
  <si>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</si>
  <si>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</si>
  <si>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</si>
  <si>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</si>
  <si>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</si>
  <si>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</si>
  <si>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</si>
  <si>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</si>
  <si>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</si>
  <si>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</si>
  <si>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</si>
  <si>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</si>
  <si>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</si>
  <si>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</si>
  <si>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</si>
  <si>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</si>
  <si>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</si>
  <si>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</si>
  <si>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</si>
  <si>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</si>
  <si>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</si>
  <si>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</si>
  <si>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</si>
  <si>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</si>
  <si>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</si>
  <si>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</si>
  <si>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</si>
  <si>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</si>
  <si>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</si>
  <si>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</si>
  <si>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</si>
  <si>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</si>
  <si>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</si>
  <si>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D39</t>
  </si>
  <si>
    <t>D40</t>
  </si>
  <si>
    <t>D41</t>
  </si>
  <si>
    <t>D42</t>
  </si>
  <si>
    <t>D43</t>
  </si>
  <si>
    <t>D44</t>
  </si>
  <si>
    <t>D45</t>
  </si>
  <si>
    <t>D46</t>
  </si>
  <si>
    <t>D47</t>
  </si>
  <si>
    <t>D48</t>
  </si>
  <si>
    <t>D49</t>
  </si>
  <si>
    <t>D50</t>
  </si>
  <si>
    <t>D51</t>
  </si>
  <si>
    <t>D52</t>
  </si>
  <si>
    <t>D53</t>
  </si>
  <si>
    <t>D54</t>
  </si>
  <si>
    <t>D55</t>
  </si>
  <si>
    <t>D56</t>
  </si>
  <si>
    <t>D57</t>
  </si>
  <si>
    <t>D58</t>
  </si>
  <si>
    <t>D59</t>
  </si>
  <si>
    <t>D60</t>
  </si>
  <si>
    <t>D61</t>
  </si>
  <si>
    <t>D62</t>
  </si>
  <si>
    <t>D63</t>
  </si>
  <si>
    <t>D64</t>
  </si>
  <si>
    <t>Tên Camera</t>
  </si>
  <si>
    <t>P1 Upstairs Z08C2-82</t>
  </si>
  <si>
    <t>P2 Protective gear Wh Z20C2-85</t>
  </si>
  <si>
    <t>P1 Upstairs man Z08-C2-186</t>
  </si>
  <si>
    <t xml:space="preserve">P1 Dock-01 Z6 C2-170 </t>
  </si>
  <si>
    <t>P1 Dock-02 Z6 C2-171</t>
  </si>
  <si>
    <t>P1 Dock-03 Z6 C2-172</t>
  </si>
  <si>
    <t>P1 Dock-04 Z6 C2-173</t>
  </si>
  <si>
    <t>P1 Dock-05 Z6 C2-174</t>
  </si>
  <si>
    <t>P1 Dock-06 Z6 C2-175</t>
  </si>
  <si>
    <t>P1 Dock-07 Z6 C2-176</t>
  </si>
  <si>
    <t>P1 Dock-08 Z6 C2-177</t>
  </si>
  <si>
    <t xml:space="preserve">P2 Cont-01 Z27 C2-167 </t>
  </si>
  <si>
    <t>P2 Cont-02 Z27 C2-168</t>
  </si>
  <si>
    <t>P2 Cont-01 Z27 C2-169</t>
  </si>
  <si>
    <t xml:space="preserve">P1 WH Z6 C2-178 </t>
  </si>
  <si>
    <t>P1 WH Z6 C2-179</t>
  </si>
  <si>
    <t>P1 WH Z6 C2-180</t>
  </si>
  <si>
    <t xml:space="preserve">P1 New Y Te Z00 C2-181 </t>
  </si>
  <si>
    <t>P1 Upstairs W Z08-C2-187</t>
  </si>
  <si>
    <t>P1 Upstairs W Z08-C2-188</t>
  </si>
  <si>
    <t xml:space="preserve">P1 Protective gear Z11C2-183 </t>
  </si>
  <si>
    <t>P1 Protective gear Z11C2-184</t>
  </si>
  <si>
    <t>P1 Protective gear Z11C2-185</t>
  </si>
  <si>
    <t xml:space="preserve">P2-Dock 01 Outsite C2-130 </t>
  </si>
  <si>
    <t>P2-Dock 02 Outsite C2-131</t>
  </si>
  <si>
    <t xml:space="preserve">P2-Dock 03 Outsite C2-130 </t>
  </si>
  <si>
    <t xml:space="preserve">P2-Dock 04 Outsite C2-130 </t>
  </si>
  <si>
    <t xml:space="preserve">P2-Dock 05 Outsite C2-130 </t>
  </si>
  <si>
    <t xml:space="preserve">P2-Dock 06 Outsite C2-130 </t>
  </si>
  <si>
    <t xml:space="preserve">P2-Dock 07 Outsite C2-130 </t>
  </si>
  <si>
    <t xml:space="preserve">P2-Dock 08 Outsite C2-130 </t>
  </si>
  <si>
    <t xml:space="preserve">P2-Dock 09 Outsite C2-130 </t>
  </si>
  <si>
    <t xml:space="preserve">P2-Dock 10 Outsite C2-130 </t>
  </si>
  <si>
    <t xml:space="preserve">P2-Dock 11 Outsite </t>
  </si>
  <si>
    <t>P2 Protective gear Pis Z21C2-189</t>
  </si>
  <si>
    <t>P2 Protective gear Pis Z21C2-190</t>
  </si>
  <si>
    <t>P2 Protective gear Can Z22C2-191</t>
  </si>
  <si>
    <t>P2 Protective gear Can Z22C2-192</t>
  </si>
  <si>
    <t>P2 Protective gear M Z23C2-193</t>
  </si>
  <si>
    <t>P2 Protective gear W Z23C2-194</t>
  </si>
  <si>
    <t>P1 Tools Wh Z08C2-127</t>
  </si>
  <si>
    <t>P2 WH Z20C2-195</t>
  </si>
  <si>
    <t>P2 WH Z20C2-196</t>
  </si>
  <si>
    <t>P1 Kitchen Z3C2-197</t>
  </si>
  <si>
    <t>P1 Kitchen Z3C2-198</t>
  </si>
  <si>
    <t>P1 Packing Car Z1C2-199</t>
  </si>
  <si>
    <t>P1 Packing Car Z7C2-200</t>
  </si>
  <si>
    <t>P2 PK1 Say Z22C2-201</t>
  </si>
  <si>
    <t xml:space="preserve"> 
P2 PK2 Say Z22C2-202</t>
  </si>
  <si>
    <t>P2 PK3Say Z22C2-203</t>
  </si>
  <si>
    <t>P2 Pistachios Z21C2-204</t>
  </si>
  <si>
    <t>P2 Pistachios Z21C2-205</t>
  </si>
  <si>
    <t>P2 Pistachios ABB Z21C2-206</t>
  </si>
  <si>
    <t>P2 Pistachios ABB Z21C2-207</t>
  </si>
  <si>
    <t>P2 Pistachios QC Z21C2-208</t>
  </si>
  <si>
    <t>P2 Pistachios wash Z21C2-209</t>
  </si>
  <si>
    <t>P2 Wasabi Z22C2-210</t>
  </si>
  <si>
    <t>P2 Wasabi wash Z22C2-211</t>
  </si>
  <si>
    <t>P2 QC Candy Z22C2-212</t>
  </si>
  <si>
    <t>P2 Candy Z22C2-213</t>
  </si>
  <si>
    <t>P2 Candy entrance Z22C2-214</t>
  </si>
  <si>
    <t>P2 Candy lobby Z22C2-215</t>
  </si>
  <si>
    <t>Ip Tương Ứng</t>
  </si>
  <si>
    <t>.82</t>
  </si>
  <si>
    <t>.85</t>
  </si>
  <si>
    <t>.186</t>
  </si>
  <si>
    <t>.170</t>
  </si>
  <si>
    <t>.171</t>
  </si>
  <si>
    <t>.172</t>
  </si>
  <si>
    <t>.173</t>
  </si>
  <si>
    <t>.174</t>
  </si>
  <si>
    <t>.175</t>
  </si>
  <si>
    <t>.176</t>
  </si>
  <si>
    <t>.177</t>
  </si>
  <si>
    <t>.167</t>
  </si>
  <si>
    <t>.168</t>
  </si>
  <si>
    <t>.169</t>
  </si>
  <si>
    <t>.178</t>
  </si>
  <si>
    <t>.179</t>
  </si>
  <si>
    <t>.180</t>
  </si>
  <si>
    <t>.181</t>
  </si>
  <si>
    <t>.187</t>
  </si>
  <si>
    <t>.188</t>
  </si>
  <si>
    <t>.183</t>
  </si>
  <si>
    <t>.184</t>
  </si>
  <si>
    <t>.185</t>
  </si>
  <si>
    <t>.130</t>
  </si>
  <si>
    <t>.131</t>
  </si>
  <si>
    <t>.132</t>
  </si>
  <si>
    <t>.133</t>
  </si>
  <si>
    <t>.134</t>
  </si>
  <si>
    <t>.135</t>
  </si>
  <si>
    <t>.136</t>
  </si>
  <si>
    <t>.137</t>
  </si>
  <si>
    <t>.138</t>
  </si>
  <si>
    <t>.139</t>
  </si>
  <si>
    <t>.140</t>
  </si>
  <si>
    <t>.189</t>
  </si>
  <si>
    <t>.190</t>
  </si>
  <si>
    <t>.191</t>
  </si>
  <si>
    <t>.192</t>
  </si>
  <si>
    <t>.193</t>
  </si>
  <si>
    <t>.194</t>
  </si>
  <si>
    <t>.127</t>
  </si>
  <si>
    <t>.195</t>
  </si>
  <si>
    <t>.196</t>
  </si>
  <si>
    <t>.197</t>
  </si>
  <si>
    <t>.198</t>
  </si>
  <si>
    <t>.199</t>
  </si>
  <si>
    <t>.200</t>
  </si>
  <si>
    <t>.201</t>
  </si>
  <si>
    <t>.202</t>
  </si>
  <si>
    <t>.203</t>
  </si>
  <si>
    <t>.204</t>
  </si>
  <si>
    <t>.205</t>
  </si>
  <si>
    <t>.206</t>
  </si>
  <si>
    <t>.207</t>
  </si>
  <si>
    <t>.208</t>
  </si>
  <si>
    <t>.209</t>
  </si>
  <si>
    <t>.210</t>
  </si>
  <si>
    <t>.211</t>
  </si>
  <si>
    <t>.212</t>
  </si>
  <si>
    <t>.213</t>
  </si>
  <si>
    <t>.214</t>
  </si>
  <si>
    <t>.215</t>
  </si>
  <si>
    <t>Ghi chú:</t>
  </si>
  <si>
    <t>Không  check ( bình thường )</t>
  </si>
  <si>
    <t>F là Fail ( mất tín hiệu )</t>
  </si>
  <si>
    <t>Người xem xét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</si>
</sst>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0"/>
      <color theme="1"/>
      <name val="Times New Roman"/>
      <family val="2"/>
    </font>
    <font>
      <sz val="9"/>
      <name val="Times New Roman"/>
      <family val="1"/>
    </font>
    <font>
      <b/>
      <sz val="16"/>
      <name val="Times New Roman"/>
      <family val="1"/>
    </font>
    <font>
      <b/>
      <sz val="8"/>
      <name val="Times New Roman"/>
      <family val="1"/>
    </font>
    <font>
      <sz val="8"/>
      <name val="Times New Roman"/>
      <family val="1"/>
    </font>
    <font>
      <b/>
      <sz val="18"/>
      <name val="Times New Roman"/>
      <family val="1"/>
    </font>
    <font>
      <b/>
      <sz val="14"/>
      <name val="Times New Roman"/>
      <family val="1"/>
    </font>
    <font>
      <b/>
      <sz val="11"/>
      <name val="Times New Roman"/>
      <family val="1"/>
    </font>
    <font>
      <sz val="12"/>
      <name val="Times New Roman"/>
      <family val="1"/>
    </font>
    <font>
      <b/>
      <sz val="10"/>
      <name val="Times New Roman"/>
      <family val="1"/>
    </font>
    <font>
      <b/>
      <sz val="11"/>
      <color theme="1"/>
      <name val="Calibri Light"/>
      <family val="1"/>
      <scheme val="major"/>
    </font>
    <font>
      <b/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 Light"/>
      <family val="1"/>
      <scheme val="major"/>
    </font>
    <font>
      <b/>
      <sz val="10"/>
      <name val="Arial"/>
      <family val="2"/>
    </font>
    <font>
      <b/>
      <i/>
      <u/>
      <sz val="10"/>
      <name val="Times New Roman"/>
      <family val="1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7" fillId="0" borderId="0" xfId="0" applyFont="1"/>
    <xf numFmtId="0" fontId="8" fillId="0" borderId="0" xfId="0" applyFont="1"/>
    <xf numFmtId="0" fontId="8" fillId="0" borderId="4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/>
    <xf numFmtId="0" fontId="10" fillId="0" borderId="0" xfId="0" applyFont="1"/>
    <xf numFmtId="0" fontId="11" fillId="0" borderId="0" xfId="0" applyFont="1"/>
    <xf numFmtId="0" fontId="12" fillId="0" borderId="0" xfId="0" applyFont="1" applyAlignment="1">
      <alignment wrapText="1"/>
    </xf>
    <xf numFmtId="0" fontId="12" fillId="0" borderId="0" xfId="0" applyFont="1"/>
    <xf numFmtId="0" fontId="13" fillId="0" borderId="1" xfId="0" applyFont="1" applyBorder="1"/>
    <xf numFmtId="49" fontId="12" fillId="0" borderId="1" xfId="0" applyNumberFormat="1" applyFont="1" applyBorder="1"/>
    <xf numFmtId="0" fontId="12" fillId="0" borderId="1" xfId="0" applyFont="1" applyBorder="1"/>
    <xf numFmtId="49" fontId="10" fillId="0" borderId="1" xfId="0" applyNumberFormat="1" applyFont="1" applyBorder="1"/>
    <xf numFmtId="49" fontId="9" fillId="0" borderId="1" xfId="0" applyNumberFormat="1" applyFont="1" applyBorder="1" applyAlignment="1">
      <alignment horizontal="center" vertical="center"/>
    </xf>
    <xf numFmtId="49" fontId="14" fillId="0" borderId="1" xfId="0" applyNumberFormat="1" applyFont="1" applyBorder="1" applyAlignment="1">
      <alignment horizontal="center" vertical="center"/>
    </xf>
    <xf numFmtId="49" fontId="15" fillId="2" borderId="1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16" fillId="0" borderId="0" xfId="0" applyFont="1"/>
    <xf numFmtId="0" fontId="17" fillId="0" borderId="0" xfId="0" applyFont="1"/>
    <xf numFmtId="14" fontId="1" fillId="0" borderId="5" xfId="0" applyNumberFormat="1" applyFont="1" applyBorder="1" applyAlignment="1">
      <alignment horizontal="center" vertical="center"/>
    </xf>
    <xf numFmtId="14" fontId="1" fillId="0" borderId="7" xfId="0" applyNumberFormat="1" applyFont="1" applyBorder="1" applyAlignment="1">
      <alignment horizontal="center" vertical="center"/>
    </xf>
    <xf numFmtId="0" fontId="17" fillId="0" borderId="0" xfId="0" applyFont="1" applyAlignment="1"/>
    <xf numFmtId="0" fontId="5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Spin" dx="22" fmlaLink="$K$6" max="12" min="1" page="10"/>
</file>

<file path=xl/ctrlProps/ctrlProp2.xml><?xml version="1.0" encoding="utf-8"?>
<formControlPr xmlns="http://schemas.microsoft.com/office/spreadsheetml/2009/9/main" objectType="Spin" dx="22" fmlaLink="$N$6" max="2060" min="2025" page="10" val="2026"/>
</file>

<file path=xl/ctrlProps/ctrlProp3.xml><?xml version="1.0" encoding="utf-8"?>
<formControlPr xmlns="http://schemas.microsoft.com/office/spreadsheetml/2009/9/main" objectType="Spin" dx="22" fmlaLink="$K$6" max="12" min="1" page="10" val="2"/>
</file>

<file path=xl/ctrlProps/ctrlProp4.xml><?xml version="1.0" encoding="utf-8"?>
<formControlPr xmlns="http://schemas.microsoft.com/office/spreadsheetml/2009/9/main" objectType="Spin" dx="22" fmlaLink="$N$6" max="2060" min="2025" page="10" val="2026"/>
</file>

<file path=xl/ctrlProps/ctrlProp5.xml><?xml version="1.0" encoding="utf-8"?>
<formControlPr xmlns="http://schemas.microsoft.com/office/spreadsheetml/2009/9/main" objectType="Spin" dx="22" fmlaLink="$K$6" max="12" min="1" page="10" val="3"/>
</file>

<file path=xl/ctrlProps/ctrlProp6.xml><?xml version="1.0" encoding="utf-8"?>
<formControlPr xmlns="http://schemas.microsoft.com/office/spreadsheetml/2009/9/main" objectType="Spin" dx="22" fmlaLink="$N$6" max="2060" min="2025" page="10" val="2026"/>
</file>

<file path=xl/ctrlProps/ctrlProp7.xml><?xml version="1.0" encoding="utf-8"?>
<formControlPr xmlns="http://schemas.microsoft.com/office/spreadsheetml/2009/9/main" objectType="Spin" dx="22" fmlaLink="$K$6" max="12" min="1" page="10" val="4"/>
</file>

<file path=xl/ctrlProps/ctrlProp8.xml><?xml version="1.0" encoding="utf-8"?>
<formControlPr xmlns="http://schemas.microsoft.com/office/spreadsheetml/2009/9/main" objectType="Spin" dx="22" fmlaLink="$N$6" max="2060" min="2025" page="10" val="2026"/>
</file>

<file path=xl/ctrlProps/ctrlProp9.xml><?xml version="1.0" encoding="utf-8"?>
<formControlPr xmlns="http://schemas.microsoft.com/office/spreadsheetml/2009/9/main" objectType="Spin" dx="22" fmlaLink="$K$6" max="12" min="1" page="10" val="5"/>
</file>

<file path=xl/ctrlProps/ctrlProp10.xml><?xml version="1.0" encoding="utf-8"?>
<formControlPr xmlns="http://schemas.microsoft.com/office/spreadsheetml/2009/9/main" objectType="Spin" dx="22" fmlaLink="$N$6" max="2060" min="2025" page="10" val="2026"/>
</file>

<file path=xl/ctrlProps/ctrlProp11.xml><?xml version="1.0" encoding="utf-8"?>
<formControlPr xmlns="http://schemas.microsoft.com/office/spreadsheetml/2009/9/main" objectType="Spin" dx="22" fmlaLink="$K$6" max="12" min="1" page="10" val="6"/>
</file>

<file path=xl/ctrlProps/ctrlProp12.xml><?xml version="1.0" encoding="utf-8"?>
<formControlPr xmlns="http://schemas.microsoft.com/office/spreadsheetml/2009/9/main" objectType="Spin" dx="22" fmlaLink="$N$6" max="2060" min="2025" page="10" val="2026"/>
</file>

<file path=xl/ctrlProps/ctrlProp13.xml><?xml version="1.0" encoding="utf-8"?>
<formControlPr xmlns="http://schemas.microsoft.com/office/spreadsheetml/2009/9/main" objectType="Spin" dx="22" fmlaLink="$K$6" max="12" min="1" page="10" val="6"/>
</file>

<file path=xl/ctrlProps/ctrlProp14.xml><?xml version="1.0" encoding="utf-8"?>
<formControlPr xmlns="http://schemas.microsoft.com/office/spreadsheetml/2009/9/main" objectType="Spin" dx="22" fmlaLink="$N$6" max="2060" min="2025" page="10" val="2026"/>
</file>

<file path=xl/ctrlProps/ctrlProp15.xml><?xml version="1.0" encoding="utf-8"?>
<formControlPr xmlns="http://schemas.microsoft.com/office/spreadsheetml/2009/9/main" objectType="Spin" dx="22" fmlaLink="$K$6" max="12" min="1" page="10" val="7"/>
</file>

<file path=xl/ctrlProps/ctrlProp16.xml><?xml version="1.0" encoding="utf-8"?>
<formControlPr xmlns="http://schemas.microsoft.com/office/spreadsheetml/2009/9/main" objectType="Spin" dx="22" fmlaLink="$N$6" max="2060" min="2025" page="10" val="2026"/>
</file>

<file path=xl/ctrlProps/ctrlProp17.xml><?xml version="1.0" encoding="utf-8"?>
<formControlPr xmlns="http://schemas.microsoft.com/office/spreadsheetml/2009/9/main" objectType="Spin" dx="22" fmlaLink="$K$6" max="12" min="1" page="10" val="8"/>
</file>

<file path=xl/ctrlProps/ctrlProp18.xml><?xml version="1.0" encoding="utf-8"?>
<formControlPr xmlns="http://schemas.microsoft.com/office/spreadsheetml/2009/9/main" objectType="Spin" dx="22" fmlaLink="$N$6" max="2060" min="2025" page="10" val="2026"/>
</file>

<file path=xl/ctrlProps/ctrlProp19.xml><?xml version="1.0" encoding="utf-8"?>
<formControlPr xmlns="http://schemas.microsoft.com/office/spreadsheetml/2009/9/main" objectType="Spin" dx="22" fmlaLink="$K$6" max="12" min="1" page="10" val="9"/>
</file>

<file path=xl/ctrlProps/ctrlProp20.xml><?xml version="1.0" encoding="utf-8"?>
<formControlPr xmlns="http://schemas.microsoft.com/office/spreadsheetml/2009/9/main" objectType="Spin" dx="22" fmlaLink="$N$6" max="2060" min="2025" page="10" val="2026"/>
</file>

<file path=xl/ctrlProps/ctrlProp21.xml><?xml version="1.0" encoding="utf-8"?>
<formControlPr xmlns="http://schemas.microsoft.com/office/spreadsheetml/2009/9/main" objectType="Spin" dx="22" fmlaLink="$K$6" max="12" min="1" page="10" val="10"/>
</file>

<file path=xl/ctrlProps/ctrlProp22.xml><?xml version="1.0" encoding="utf-8"?>
<formControlPr xmlns="http://schemas.microsoft.com/office/spreadsheetml/2009/9/main" objectType="Spin" dx="22" fmlaLink="$N$6" max="2060" min="2025" page="10" val="2026"/>
</file>

<file path=xl/ctrlProps/ctrlProp23.xml><?xml version="1.0" encoding="utf-8"?>
<formControlPr xmlns="http://schemas.microsoft.com/office/spreadsheetml/2009/9/main" objectType="Spin" dx="22" fmlaLink="$K$6" max="12" min="1" page="10" val="11"/>
</file>

<file path=xl/ctrlProps/ctrlProp24.xml><?xml version="1.0" encoding="utf-8"?>
<formControlPr xmlns="http://schemas.microsoft.com/office/spreadsheetml/2009/9/main" objectType="Spin" dx="22" fmlaLink="$N$6" max="2060" min="2025" page="10" val="2026"/>
</file>

<file path=xl/ctrlProps/ctrlProp25.xml><?xml version="1.0" encoding="utf-8"?>
<formControlPr xmlns="http://schemas.microsoft.com/office/spreadsheetml/2009/9/main" objectType="Spin" dx="22" fmlaLink="$K$6" max="12" min="1" page="10" val="12"/>
</file>

<file path=xl/ctrlProps/ctrlProp26.xml><?xml version="1.0" encoding="utf-8"?>
<formControlPr xmlns="http://schemas.microsoft.com/office/spreadsheetml/2009/9/main" objectType="Spin" dx="22" fmlaLink="$N$6" max="2060" min="2025" page="10" val="2026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19050</xdr:colOff>
          <xdr:row>4</xdr:row>
          <xdr:rowOff>123825</xdr:rowOff>
        </xdr:from>
        <xdr:to>
          <xdr:col>11</xdr:col>
          <xdr:colOff>342900</xdr:colOff>
          <xdr:row>6</xdr:row>
          <xdr:rowOff>0</xdr:rowOff>
        </xdr:to>
        <xdr:sp macro="" textlink="">
          <xdr:nvSpPr>
            <xdr:cNvPr id="13315" name="Spinner 3" hidden="1">
              <a:extLst>
                <a:ext uri="{63B3BB69-23CF-44E3-9099-C40C66FF867C}">
                  <a14:compatExt spid="_x0000_s13315"/>
                </a:ext>
                <a:ext uri="{FF2B5EF4-FFF2-40B4-BE49-F238E27FC236}">
                  <a16:creationId xmlns:a16="http://schemas.microsoft.com/office/drawing/2014/main" id="{00000000-0008-0000-0000-000003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0</xdr:colOff>
          <xdr:row>4</xdr:row>
          <xdr:rowOff>123825</xdr:rowOff>
        </xdr:from>
        <xdr:to>
          <xdr:col>15</xdr:col>
          <xdr:colOff>323850</xdr:colOff>
          <xdr:row>6</xdr:row>
          <xdr:rowOff>0</xdr:rowOff>
        </xdr:to>
        <xdr:sp macro="" textlink="">
          <xdr:nvSpPr>
            <xdr:cNvPr id="13316" name="Spinner 4" hidden="1">
              <a:extLst>
                <a:ext uri="{63B3BB69-23CF-44E3-9099-C40C66FF867C}">
                  <a14:compatExt spid="_x0000_s13316"/>
                </a:ext>
                <a:ext uri="{FF2B5EF4-FFF2-40B4-BE49-F238E27FC236}">
                  <a16:creationId xmlns:a16="http://schemas.microsoft.com/office/drawing/2014/main" id="{00000000-0008-0000-0000-000004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19050</xdr:colOff>
          <xdr:row>4</xdr:row>
          <xdr:rowOff>123825</xdr:rowOff>
        </xdr:from>
        <xdr:to>
          <xdr:col>11</xdr:col>
          <xdr:colOff>342900</xdr:colOff>
          <xdr:row>6</xdr:row>
          <xdr:rowOff>0</xdr:rowOff>
        </xdr:to>
        <xdr:sp macro="" textlink="">
          <xdr:nvSpPr>
            <xdr:cNvPr id="12291" name="Spinner 3" hidden="1">
              <a:extLst>
                <a:ext uri="{63B3BB69-23CF-44E3-9099-C40C66FF867C}">
                  <a14:compatExt spid="_x0000_s12291"/>
                </a:ext>
                <a:ext uri="{FF2B5EF4-FFF2-40B4-BE49-F238E27FC236}">
                  <a16:creationId xmlns:a16="http://schemas.microsoft.com/office/drawing/2014/main" id="{00000000-0008-0000-0100-000003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0</xdr:colOff>
          <xdr:row>4</xdr:row>
          <xdr:rowOff>123825</xdr:rowOff>
        </xdr:from>
        <xdr:to>
          <xdr:col>15</xdr:col>
          <xdr:colOff>323850</xdr:colOff>
          <xdr:row>6</xdr:row>
          <xdr:rowOff>0</xdr:rowOff>
        </xdr:to>
        <xdr:sp macro="" textlink="">
          <xdr:nvSpPr>
            <xdr:cNvPr id="12292" name="Spinner 4" hidden="1">
              <a:extLst>
                <a:ext uri="{63B3BB69-23CF-44E3-9099-C40C66FF867C}">
                  <a14:compatExt spid="_x0000_s12292"/>
                </a:ext>
                <a:ext uri="{FF2B5EF4-FFF2-40B4-BE49-F238E27FC236}">
                  <a16:creationId xmlns:a16="http://schemas.microsoft.com/office/drawing/2014/main" id="{00000000-0008-0000-0100-000004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19050</xdr:colOff>
          <xdr:row>4</xdr:row>
          <xdr:rowOff>123825</xdr:rowOff>
        </xdr:from>
        <xdr:to>
          <xdr:col>11</xdr:col>
          <xdr:colOff>342900</xdr:colOff>
          <xdr:row>6</xdr:row>
          <xdr:rowOff>0</xdr:rowOff>
        </xdr:to>
        <xdr:sp macro="" textlink="">
          <xdr:nvSpPr>
            <xdr:cNvPr id="11267" name="Spinner 3" hidden="1">
              <a:extLst>
                <a:ext uri="{63B3BB69-23CF-44E3-9099-C40C66FF867C}">
                  <a14:compatExt spid="_x0000_s11267"/>
                </a:ext>
                <a:ext uri="{FF2B5EF4-FFF2-40B4-BE49-F238E27FC236}">
                  <a16:creationId xmlns:a16="http://schemas.microsoft.com/office/drawing/2014/main" id="{00000000-0008-0000-0200-000003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0</xdr:colOff>
          <xdr:row>4</xdr:row>
          <xdr:rowOff>123825</xdr:rowOff>
        </xdr:from>
        <xdr:to>
          <xdr:col>15</xdr:col>
          <xdr:colOff>323850</xdr:colOff>
          <xdr:row>6</xdr:row>
          <xdr:rowOff>0</xdr:rowOff>
        </xdr:to>
        <xdr:sp macro="" textlink="">
          <xdr:nvSpPr>
            <xdr:cNvPr id="11268" name="Spinner 4" hidden="1">
              <a:extLst>
                <a:ext uri="{63B3BB69-23CF-44E3-9099-C40C66FF867C}">
                  <a14:compatExt spid="_x0000_s11268"/>
                </a:ext>
                <a:ext uri="{FF2B5EF4-FFF2-40B4-BE49-F238E27FC236}">
                  <a16:creationId xmlns:a16="http://schemas.microsoft.com/office/drawing/2014/main" id="{00000000-0008-0000-0200-000004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19050</xdr:colOff>
          <xdr:row>4</xdr:row>
          <xdr:rowOff>123825</xdr:rowOff>
        </xdr:from>
        <xdr:to>
          <xdr:col>11</xdr:col>
          <xdr:colOff>342900</xdr:colOff>
          <xdr:row>6</xdr:row>
          <xdr:rowOff>0</xdr:rowOff>
        </xdr:to>
        <xdr:sp macro="" textlink="">
          <xdr:nvSpPr>
            <xdr:cNvPr id="10243" name="Spinner 3" hidden="1">
              <a:extLst>
                <a:ext uri="{63B3BB69-23CF-44E3-9099-C40C66FF867C}">
                  <a14:compatExt spid="_x0000_s10243"/>
                </a:ext>
                <a:ext uri="{FF2B5EF4-FFF2-40B4-BE49-F238E27FC236}">
                  <a16:creationId xmlns:a16="http://schemas.microsoft.com/office/drawing/2014/main" id="{00000000-0008-0000-0300-000003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0</xdr:colOff>
          <xdr:row>4</xdr:row>
          <xdr:rowOff>123825</xdr:rowOff>
        </xdr:from>
        <xdr:to>
          <xdr:col>15</xdr:col>
          <xdr:colOff>323850</xdr:colOff>
          <xdr:row>6</xdr:row>
          <xdr:rowOff>0</xdr:rowOff>
        </xdr:to>
        <xdr:sp macro="" textlink="">
          <xdr:nvSpPr>
            <xdr:cNvPr id="10244" name="Spinner 4" hidden="1">
              <a:extLst>
                <a:ext uri="{63B3BB69-23CF-44E3-9099-C40C66FF867C}">
                  <a14:compatExt spid="_x0000_s10244"/>
                </a:ext>
                <a:ext uri="{FF2B5EF4-FFF2-40B4-BE49-F238E27FC236}">
                  <a16:creationId xmlns:a16="http://schemas.microsoft.com/office/drawing/2014/main" id="{00000000-0008-0000-0300-000004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19050</xdr:colOff>
          <xdr:row>4</xdr:row>
          <xdr:rowOff>123825</xdr:rowOff>
        </xdr:from>
        <xdr:to>
          <xdr:col>11</xdr:col>
          <xdr:colOff>342900</xdr:colOff>
          <xdr:row>6</xdr:row>
          <xdr:rowOff>0</xdr:rowOff>
        </xdr:to>
        <xdr:sp macro="" textlink="">
          <xdr:nvSpPr>
            <xdr:cNvPr id="9219" name="Spinner 3" hidden="1">
              <a:extLst>
                <a:ext uri="{63B3BB69-23CF-44E3-9099-C40C66FF867C}">
                  <a14:compatExt spid="_x0000_s9219"/>
                </a:ext>
                <a:ext uri="{FF2B5EF4-FFF2-40B4-BE49-F238E27FC236}">
                  <a16:creationId xmlns:a16="http://schemas.microsoft.com/office/drawing/2014/main" id="{00000000-0008-0000-0400-00000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0</xdr:colOff>
          <xdr:row>4</xdr:row>
          <xdr:rowOff>123825</xdr:rowOff>
        </xdr:from>
        <xdr:to>
          <xdr:col>15</xdr:col>
          <xdr:colOff>323850</xdr:colOff>
          <xdr:row>6</xdr:row>
          <xdr:rowOff>0</xdr:rowOff>
        </xdr:to>
        <xdr:sp macro="" textlink="">
          <xdr:nvSpPr>
            <xdr:cNvPr id="9220" name="Spinner 4" hidden="1">
              <a:extLst>
                <a:ext uri="{63B3BB69-23CF-44E3-9099-C40C66FF867C}">
                  <a14:compatExt spid="_x0000_s9220"/>
                </a:ext>
                <a:ext uri="{FF2B5EF4-FFF2-40B4-BE49-F238E27FC236}">
                  <a16:creationId xmlns:a16="http://schemas.microsoft.com/office/drawing/2014/main" id="{00000000-0008-0000-0400-00000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19050</xdr:colOff>
          <xdr:row>4</xdr:row>
          <xdr:rowOff>123825</xdr:rowOff>
        </xdr:from>
        <xdr:to>
          <xdr:col>11</xdr:col>
          <xdr:colOff>342900</xdr:colOff>
          <xdr:row>6</xdr:row>
          <xdr:rowOff>0</xdr:rowOff>
        </xdr:to>
        <xdr:sp macro="" textlink="">
          <xdr:nvSpPr>
            <xdr:cNvPr id="8193" name="Spinner 1" hidden="1">
              <a:extLst>
                <a:ext uri="{63B3BB69-23CF-44E3-9099-C40C66FF867C}">
                  <a14:compatExt spid="_x0000_s8193"/>
                </a:ext>
                <a:ext uri="{FF2B5EF4-FFF2-40B4-BE49-F238E27FC236}">
                  <a16:creationId xmlns:a16="http://schemas.microsoft.com/office/drawing/2014/main" id="{00000000-0008-0000-0500-000001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0</xdr:colOff>
          <xdr:row>4</xdr:row>
          <xdr:rowOff>123825</xdr:rowOff>
        </xdr:from>
        <xdr:to>
          <xdr:col>15</xdr:col>
          <xdr:colOff>323850</xdr:colOff>
          <xdr:row>6</xdr:row>
          <xdr:rowOff>0</xdr:rowOff>
        </xdr:to>
        <xdr:sp macro="" textlink="">
          <xdr:nvSpPr>
            <xdr:cNvPr id="8194" name="Spinner 2" hidden="1">
              <a:extLst>
                <a:ext uri="{63B3BB69-23CF-44E3-9099-C40C66FF867C}">
                  <a14:compatExt spid="_x0000_s8194"/>
                </a:ext>
                <a:ext uri="{FF2B5EF4-FFF2-40B4-BE49-F238E27FC236}">
                  <a16:creationId xmlns:a16="http://schemas.microsoft.com/office/drawing/2014/main" id="{00000000-0008-0000-0500-000002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19050</xdr:colOff>
          <xdr:row>4</xdr:row>
          <xdr:rowOff>123825</xdr:rowOff>
        </xdr:from>
        <xdr:to>
          <xdr:col>11</xdr:col>
          <xdr:colOff>342900</xdr:colOff>
          <xdr:row>6</xdr:row>
          <xdr:rowOff>0</xdr:rowOff>
        </xdr:to>
        <xdr:sp macro="" textlink="">
          <xdr:nvSpPr>
            <xdr:cNvPr id="8197" name="Spinner 5" hidden="1">
              <a:extLst>
                <a:ext uri="{63B3BB69-23CF-44E3-9099-C40C66FF867C}">
                  <a14:compatExt spid="_x0000_s8197"/>
                </a:ext>
                <a:ext uri="{FF2B5EF4-FFF2-40B4-BE49-F238E27FC236}">
                  <a16:creationId xmlns:a16="http://schemas.microsoft.com/office/drawing/2014/main" id="{00000000-0008-0000-0500-000005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0</xdr:colOff>
          <xdr:row>4</xdr:row>
          <xdr:rowOff>123825</xdr:rowOff>
        </xdr:from>
        <xdr:to>
          <xdr:col>15</xdr:col>
          <xdr:colOff>323850</xdr:colOff>
          <xdr:row>6</xdr:row>
          <xdr:rowOff>0</xdr:rowOff>
        </xdr:to>
        <xdr:sp macro="" textlink="">
          <xdr:nvSpPr>
            <xdr:cNvPr id="8198" name="Spinner 6" hidden="1">
              <a:extLst>
                <a:ext uri="{63B3BB69-23CF-44E3-9099-C40C66FF867C}">
                  <a14:compatExt spid="_x0000_s8198"/>
                </a:ext>
                <a:ext uri="{FF2B5EF4-FFF2-40B4-BE49-F238E27FC236}">
                  <a16:creationId xmlns:a16="http://schemas.microsoft.com/office/drawing/2014/main" id="{00000000-0008-0000-0500-000006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19050</xdr:colOff>
          <xdr:row>4</xdr:row>
          <xdr:rowOff>123825</xdr:rowOff>
        </xdr:from>
        <xdr:to>
          <xdr:col>11</xdr:col>
          <xdr:colOff>342900</xdr:colOff>
          <xdr:row>6</xdr:row>
          <xdr:rowOff>0</xdr:rowOff>
        </xdr:to>
        <xdr:sp macro="" textlink="">
          <xdr:nvSpPr>
            <xdr:cNvPr id="7171" name="Spinner 3" hidden="1">
              <a:extLst>
                <a:ext uri="{63B3BB69-23CF-44E3-9099-C40C66FF867C}">
                  <a14:compatExt spid="_x0000_s7171"/>
                </a:ext>
                <a:ext uri="{FF2B5EF4-FFF2-40B4-BE49-F238E27FC236}">
                  <a16:creationId xmlns:a16="http://schemas.microsoft.com/office/drawing/2014/main" id="{00000000-0008-0000-0600-000003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0</xdr:colOff>
          <xdr:row>4</xdr:row>
          <xdr:rowOff>123825</xdr:rowOff>
        </xdr:from>
        <xdr:to>
          <xdr:col>15</xdr:col>
          <xdr:colOff>323850</xdr:colOff>
          <xdr:row>6</xdr:row>
          <xdr:rowOff>0</xdr:rowOff>
        </xdr:to>
        <xdr:sp macro="" textlink="">
          <xdr:nvSpPr>
            <xdr:cNvPr id="7172" name="Spinner 4" hidden="1">
              <a:extLst>
                <a:ext uri="{63B3BB69-23CF-44E3-9099-C40C66FF867C}">
                  <a14:compatExt spid="_x0000_s7172"/>
                </a:ext>
                <a:ext uri="{FF2B5EF4-FFF2-40B4-BE49-F238E27FC236}">
                  <a16:creationId xmlns:a16="http://schemas.microsoft.com/office/drawing/2014/main" id="{00000000-0008-0000-0600-000004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19050</xdr:colOff>
          <xdr:row>4</xdr:row>
          <xdr:rowOff>123825</xdr:rowOff>
        </xdr:from>
        <xdr:to>
          <xdr:col>11</xdr:col>
          <xdr:colOff>342900</xdr:colOff>
          <xdr:row>6</xdr:row>
          <xdr:rowOff>0</xdr:rowOff>
        </xdr:to>
        <xdr:sp macro="" textlink="">
          <xdr:nvSpPr>
            <xdr:cNvPr id="6147" name="Spinner 3" hidden="1">
              <a:extLst>
                <a:ext uri="{63B3BB69-23CF-44E3-9099-C40C66FF867C}">
                  <a14:compatExt spid="_x0000_s6147"/>
                </a:ext>
                <a:ext uri="{FF2B5EF4-FFF2-40B4-BE49-F238E27FC236}">
                  <a16:creationId xmlns:a16="http://schemas.microsoft.com/office/drawing/2014/main" id="{00000000-0008-0000-0700-000003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0</xdr:colOff>
          <xdr:row>4</xdr:row>
          <xdr:rowOff>123825</xdr:rowOff>
        </xdr:from>
        <xdr:to>
          <xdr:col>15</xdr:col>
          <xdr:colOff>323850</xdr:colOff>
          <xdr:row>6</xdr:row>
          <xdr:rowOff>0</xdr:rowOff>
        </xdr:to>
        <xdr:sp macro="" textlink="">
          <xdr:nvSpPr>
            <xdr:cNvPr id="6148" name="Spinner 4" hidden="1">
              <a:extLst>
                <a:ext uri="{63B3BB69-23CF-44E3-9099-C40C66FF867C}">
                  <a14:compatExt spid="_x0000_s6148"/>
                </a:ext>
                <a:ext uri="{FF2B5EF4-FFF2-40B4-BE49-F238E27FC236}">
                  <a16:creationId xmlns:a16="http://schemas.microsoft.com/office/drawing/2014/main" id="{00000000-0008-0000-0700-000004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19050</xdr:colOff>
          <xdr:row>4</xdr:row>
          <xdr:rowOff>123825</xdr:rowOff>
        </xdr:from>
        <xdr:to>
          <xdr:col>11</xdr:col>
          <xdr:colOff>342900</xdr:colOff>
          <xdr:row>6</xdr:row>
          <xdr:rowOff>0</xdr:rowOff>
        </xdr:to>
        <xdr:sp macro="" textlink="">
          <xdr:nvSpPr>
            <xdr:cNvPr id="5123" name="Spinner 3" hidden="1">
              <a:extLst>
                <a:ext uri="{63B3BB69-23CF-44E3-9099-C40C66FF867C}">
                  <a14:compatExt spid="_x0000_s5123"/>
                </a:ext>
                <a:ext uri="{FF2B5EF4-FFF2-40B4-BE49-F238E27FC236}">
                  <a16:creationId xmlns:a16="http://schemas.microsoft.com/office/drawing/2014/main" id="{00000000-0008-0000-0800-00000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0</xdr:colOff>
          <xdr:row>4</xdr:row>
          <xdr:rowOff>123825</xdr:rowOff>
        </xdr:from>
        <xdr:to>
          <xdr:col>15</xdr:col>
          <xdr:colOff>323850</xdr:colOff>
          <xdr:row>6</xdr:row>
          <xdr:rowOff>0</xdr:rowOff>
        </xdr:to>
        <xdr:sp macro="" textlink="">
          <xdr:nvSpPr>
            <xdr:cNvPr id="5124" name="Spinner 4" hidden="1">
              <a:extLst>
                <a:ext uri="{63B3BB69-23CF-44E3-9099-C40C66FF867C}">
                  <a14:compatExt spid="_x0000_s5124"/>
                </a:ext>
                <a:ext uri="{FF2B5EF4-FFF2-40B4-BE49-F238E27FC236}">
                  <a16:creationId xmlns:a16="http://schemas.microsoft.com/office/drawing/2014/main" id="{00000000-0008-0000-0800-00000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19050</xdr:colOff>
          <xdr:row>4</xdr:row>
          <xdr:rowOff>123825</xdr:rowOff>
        </xdr:from>
        <xdr:to>
          <xdr:col>11</xdr:col>
          <xdr:colOff>342900</xdr:colOff>
          <xdr:row>6</xdr:row>
          <xdr:rowOff>0</xdr:rowOff>
        </xdr:to>
        <xdr:sp macro="" textlink="">
          <xdr:nvSpPr>
            <xdr:cNvPr id="4099" name="Spinner 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9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0</xdr:colOff>
          <xdr:row>4</xdr:row>
          <xdr:rowOff>123825</xdr:rowOff>
        </xdr:from>
        <xdr:to>
          <xdr:col>15</xdr:col>
          <xdr:colOff>323850</xdr:colOff>
          <xdr:row>6</xdr:row>
          <xdr:rowOff>0</xdr:rowOff>
        </xdr:to>
        <xdr:sp macro="" textlink="">
          <xdr:nvSpPr>
            <xdr:cNvPr id="4100" name="Spinner 4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9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19050</xdr:colOff>
          <xdr:row>4</xdr:row>
          <xdr:rowOff>123825</xdr:rowOff>
        </xdr:from>
        <xdr:to>
          <xdr:col>11</xdr:col>
          <xdr:colOff>342900</xdr:colOff>
          <xdr:row>6</xdr:row>
          <xdr:rowOff>0</xdr:rowOff>
        </xdr:to>
        <xdr:sp macro="" textlink="">
          <xdr:nvSpPr>
            <xdr:cNvPr id="2051" name="Spinner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A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0</xdr:colOff>
          <xdr:row>4</xdr:row>
          <xdr:rowOff>123825</xdr:rowOff>
        </xdr:from>
        <xdr:to>
          <xdr:col>15</xdr:col>
          <xdr:colOff>323850</xdr:colOff>
          <xdr:row>6</xdr:row>
          <xdr:rowOff>0</xdr:rowOff>
        </xdr:to>
        <xdr:sp macro="" textlink="">
          <xdr:nvSpPr>
            <xdr:cNvPr id="2052" name="Spinner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A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19050</xdr:colOff>
          <xdr:row>4</xdr:row>
          <xdr:rowOff>123825</xdr:rowOff>
        </xdr:from>
        <xdr:to>
          <xdr:col>11</xdr:col>
          <xdr:colOff>342900</xdr:colOff>
          <xdr:row>6</xdr:row>
          <xdr:rowOff>0</xdr:rowOff>
        </xdr:to>
        <xdr:sp macro="" textlink="">
          <xdr:nvSpPr>
            <xdr:cNvPr id="1027" name="Spinner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B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0</xdr:colOff>
          <xdr:row>4</xdr:row>
          <xdr:rowOff>123825</xdr:rowOff>
        </xdr:from>
        <xdr:to>
          <xdr:col>15</xdr:col>
          <xdr:colOff>323850</xdr:colOff>
          <xdr:row>6</xdr:row>
          <xdr:rowOff>0</xdr:rowOff>
        </xdr:to>
        <xdr:sp macro="" textlink="">
          <xdr:nvSpPr>
            <xdr:cNvPr id="1028" name="Spinner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B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ctrlProp" Target="../ctrlProps/ctrlProp2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3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4" Type="http://schemas.openxmlformats.org/officeDocument/2006/relationships/ctrlProp" Target="../ctrlProps/ctrlProp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5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Relationship Id="rId4" Type="http://schemas.openxmlformats.org/officeDocument/2006/relationships/ctrlProp" Target="../ctrlProps/ctrlProp6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7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Relationship Id="rId4" Type="http://schemas.openxmlformats.org/officeDocument/2006/relationships/ctrlProp" Target="../ctrlProps/ctrlProp8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9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5.xml"/><Relationship Id="rId4" Type="http://schemas.openxmlformats.org/officeDocument/2006/relationships/ctrlProp" Target="../ctrlProps/ctrlProp10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1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6.xml"/><Relationship Id="rId6" Type="http://schemas.openxmlformats.org/officeDocument/2006/relationships/ctrlProp" Target="../ctrlProps/ctrlProp14.xml"/><Relationship Id="rId5" Type="http://schemas.openxmlformats.org/officeDocument/2006/relationships/ctrlProp" Target="../ctrlProps/ctrlProp13.xml"/><Relationship Id="rId4" Type="http://schemas.openxmlformats.org/officeDocument/2006/relationships/ctrlProp" Target="../ctrlProps/ctrlProp1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5.xml"/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7.xml"/><Relationship Id="rId4" Type="http://schemas.openxmlformats.org/officeDocument/2006/relationships/ctrlProp" Target="../ctrlProps/ctrlProp1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18.xml"/><Relationship Id="rId4" Type="http://schemas.openxmlformats.org/officeDocument/2006/relationships/ctrlProp" Target="../ctrlProps/ctrlProp17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9.xml"/><Relationship Id="rId2" Type="http://schemas.openxmlformats.org/officeDocument/2006/relationships/vmlDrawing" Target="../drawings/vmlDrawing9.vml"/><Relationship Id="rId1" Type="http://schemas.openxmlformats.org/officeDocument/2006/relationships/drawing" Target="../drawings/drawing9.xml"/><Relationship Id="rId4" Type="http://schemas.openxmlformats.org/officeDocument/2006/relationships/ctrlProp" Target="../ctrlProps/ctrlProp20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21.xml"/><Relationship Id="rId2" Type="http://schemas.openxmlformats.org/officeDocument/2006/relationships/vmlDrawing" Target="../drawings/vmlDrawing10.vml"/><Relationship Id="rId1" Type="http://schemas.openxmlformats.org/officeDocument/2006/relationships/drawing" Target="../drawings/drawing10.xml"/><Relationship Id="rId4" Type="http://schemas.openxmlformats.org/officeDocument/2006/relationships/ctrlProp" Target="../ctrlProps/ctrlProp22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23.xml"/><Relationship Id="rId2" Type="http://schemas.openxmlformats.org/officeDocument/2006/relationships/vmlDrawing" Target="../drawings/vmlDrawing11.vml"/><Relationship Id="rId1" Type="http://schemas.openxmlformats.org/officeDocument/2006/relationships/drawing" Target="../drawings/drawing11.xml"/><Relationship Id="rId4" Type="http://schemas.openxmlformats.org/officeDocument/2006/relationships/ctrlProp" Target="../ctrlProps/ctrlProp24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25.xml"/><Relationship Id="rId2" Type="http://schemas.openxmlformats.org/officeDocument/2006/relationships/vmlDrawing" Target="../drawings/vmlDrawing12.vml"/><Relationship Id="rId1" Type="http://schemas.openxmlformats.org/officeDocument/2006/relationships/drawing" Target="../drawings/drawing12.xml"/><Relationship Id="rId4" Type="http://schemas.openxmlformats.org/officeDocument/2006/relationships/ctrlProp" Target="../ctrlProps/ctrlProp2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O44"/>
  <sheetViews>
    <sheetView zoomScale="70" zoomScaleNormal="70" workbookViewId="0">
      <selection activeCell="E31" sqref="E31"/>
    </sheetView>
  </sheetViews>
  <sheetFormatPr defaultRowHeight="12.75" x14ac:dyDescent="0.2"/>
  <cols>
    <col min="1" max="2" width="23.5" bestFit="1" customWidth="1"/>
    <col min="3" max="3" width="31.6640625" bestFit="1" customWidth="1"/>
    <col min="4" max="4" width="47" bestFit="1" customWidth="1"/>
    <col min="5" max="5" width="40.6640625" bestFit="1" customWidth="1"/>
    <col min="6" max="6" width="32.83203125" bestFit="1" customWidth="1"/>
    <col min="7" max="7" width="32" bestFit="1" customWidth="1"/>
    <col min="8" max="13" width="32.5" bestFit="1" customWidth="1"/>
    <col min="14" max="14" width="34.5" bestFit="1" customWidth="1"/>
    <col min="15" max="15" width="34.1640625" bestFit="1" customWidth="1"/>
    <col min="16" max="16" width="33.6640625" bestFit="1" customWidth="1"/>
    <col min="17" max="17" width="25.6640625" bestFit="1" customWidth="1"/>
    <col min="18" max="19" width="25" bestFit="1" customWidth="1"/>
    <col min="20" max="20" width="35.1640625" bestFit="1" customWidth="1"/>
    <col min="21" max="22" width="37.5" bestFit="1" customWidth="1"/>
    <col min="23" max="23" width="42.5" bestFit="1" customWidth="1"/>
    <col min="24" max="25" width="41.83203125" bestFit="1" customWidth="1"/>
    <col min="26" max="26" width="39.6640625" bestFit="1" customWidth="1"/>
    <col min="27" max="27" width="39" bestFit="1" customWidth="1"/>
    <col min="28" max="34" width="40.1640625" bestFit="1" customWidth="1"/>
    <col min="35" max="35" width="39.6640625" bestFit="1" customWidth="1"/>
    <col min="36" max="36" width="28.5" bestFit="1" customWidth="1"/>
    <col min="37" max="38" width="47.83203125" bestFit="1" customWidth="1"/>
    <col min="39" max="39" width="49" bestFit="1" customWidth="1"/>
    <col min="40" max="40" width="49.5" bestFit="1" customWidth="1"/>
    <col min="41" max="41" width="46.33203125" bestFit="1" customWidth="1"/>
    <col min="42" max="42" width="46.6640625" bestFit="1" customWidth="1"/>
    <col min="43" max="43" width="34" bestFit="1" customWidth="1"/>
    <col min="44" max="45" width="26.6640625" bestFit="1" customWidth="1"/>
    <col min="46" max="47" width="30.33203125" bestFit="1" customWidth="1"/>
    <col min="48" max="48" width="35.83203125" bestFit="1" customWidth="1"/>
    <col min="49" max="49" width="37" bestFit="1" customWidth="1"/>
    <col min="50" max="50" width="33.33203125" bestFit="1" customWidth="1"/>
    <col min="51" max="51" width="34.1640625" bestFit="1" customWidth="1"/>
    <col min="52" max="52" width="33.5" bestFit="1" customWidth="1"/>
    <col min="53" max="54" width="36.6640625" bestFit="1" customWidth="1"/>
    <col min="55" max="56" width="43.33203125" bestFit="1" customWidth="1"/>
    <col min="57" max="57" width="41.6640625" bestFit="1" customWidth="1"/>
    <col min="58" max="58" width="44.1640625" bestFit="1" customWidth="1"/>
    <col min="59" max="59" width="32" bestFit="1" customWidth="1"/>
    <col min="60" max="60" width="39.1640625" bestFit="1" customWidth="1"/>
    <col min="61" max="61" width="35.6640625" bestFit="1" customWidth="1"/>
    <col min="62" max="62" width="30.6640625" bestFit="1" customWidth="1"/>
    <col min="63" max="63" width="44" bestFit="1" customWidth="1"/>
    <col min="64" max="64" width="39" bestFit="1" customWidth="1"/>
    <col min="65" max="66" width="6.83203125" bestFit="1" customWidth="1"/>
    <col min="67" max="67" width="14.6640625" bestFit="1" customWidth="1"/>
  </cols>
  <sheetData>
    <row r="1" spans="1:67" x14ac:dyDescent="0.2">
      <c r="A1" s="39" t="s">
        <v>0</v>
      </c>
      <c r="B1" s="40" t="s">
        <v>1</v>
      </c>
      <c r="C1" s="41"/>
      <c r="D1" s="41"/>
      <c r="E1" s="41"/>
      <c r="F1" s="41"/>
      <c r="G1" s="41"/>
      <c r="H1" s="41"/>
      <c r="I1" s="41"/>
      <c r="J1" s="41"/>
      <c r="K1" s="41"/>
      <c r="L1" s="41"/>
      <c r="M1" s="42"/>
      <c r="N1" s="49" t="s">
        <v>2</v>
      </c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  <c r="AJ1" s="50"/>
      <c r="AK1" s="50"/>
      <c r="AL1" s="50"/>
      <c r="AM1" s="50"/>
      <c r="AN1" s="50"/>
      <c r="AO1" s="50"/>
      <c r="AP1" s="50"/>
      <c r="AQ1" s="50"/>
      <c r="AR1" s="50"/>
      <c r="AS1" s="50"/>
      <c r="AT1" s="50"/>
      <c r="AU1" s="50"/>
      <c r="AV1" s="50"/>
      <c r="AW1" s="50"/>
      <c r="AX1" s="50"/>
      <c r="AY1" s="50"/>
      <c r="AZ1" s="50"/>
      <c r="BA1" s="50"/>
      <c r="BB1" s="50"/>
      <c r="BC1" s="50"/>
      <c r="BD1" s="50"/>
      <c r="BE1" s="50"/>
      <c r="BF1" s="50"/>
      <c r="BG1" s="50"/>
      <c r="BH1" s="50"/>
      <c r="BI1" s="50"/>
      <c r="BJ1" s="50"/>
      <c r="BK1" s="50"/>
      <c r="BL1" s="50"/>
      <c r="BM1" s="50"/>
      <c r="BN1" s="50"/>
      <c r="BO1" s="51"/>
    </row>
    <row r="2" spans="1:67" x14ac:dyDescent="0.2">
      <c r="A2" s="39"/>
      <c r="B2" s="43"/>
      <c r="C2" s="44"/>
      <c r="D2" s="44"/>
      <c r="E2" s="44"/>
      <c r="F2" s="44"/>
      <c r="G2" s="44"/>
      <c r="H2" s="44"/>
      <c r="I2" s="44"/>
      <c r="J2" s="44"/>
      <c r="K2" s="44"/>
      <c r="L2" s="44"/>
      <c r="M2" s="45"/>
      <c r="N2" s="49" t="s">
        <v>3</v>
      </c>
      <c r="O2" s="50"/>
      <c r="P2" s="51"/>
      <c r="Q2" s="49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50"/>
      <c r="AO2" s="50"/>
      <c r="AP2" s="50"/>
      <c r="AQ2" s="50"/>
      <c r="AR2" s="50"/>
      <c r="AS2" s="50"/>
      <c r="AT2" s="50"/>
      <c r="AU2" s="50"/>
      <c r="AV2" s="50"/>
      <c r="AW2" s="50"/>
      <c r="AX2" s="50"/>
      <c r="AY2" s="50"/>
      <c r="AZ2" s="50"/>
      <c r="BA2" s="50"/>
      <c r="BB2" s="50"/>
      <c r="BC2" s="50"/>
      <c r="BD2" s="50"/>
      <c r="BE2" s="50"/>
      <c r="BF2" s="50"/>
      <c r="BG2" s="50"/>
      <c r="BH2" s="50"/>
      <c r="BI2" s="50"/>
      <c r="BJ2" s="50"/>
      <c r="BK2" s="50"/>
      <c r="BL2" s="50"/>
      <c r="BM2" s="50"/>
      <c r="BN2" s="51"/>
      <c r="BO2" s="1" t="s">
        <v>4</v>
      </c>
    </row>
    <row r="3" spans="1:67" x14ac:dyDescent="0.2">
      <c r="A3" s="39"/>
      <c r="B3" s="46"/>
      <c r="C3" s="47"/>
      <c r="D3" s="47"/>
      <c r="E3" s="47"/>
      <c r="F3" s="47"/>
      <c r="G3" s="47"/>
      <c r="H3" s="47"/>
      <c r="I3" s="47"/>
      <c r="J3" s="47"/>
      <c r="K3" s="47"/>
      <c r="L3" s="47"/>
      <c r="M3" s="48"/>
      <c r="N3" s="49" t="s">
        <v>5</v>
      </c>
      <c r="O3" s="50"/>
      <c r="P3" s="51"/>
      <c r="Q3" s="49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/>
      <c r="AS3" s="50"/>
      <c r="AT3" s="50"/>
      <c r="AU3" s="50"/>
      <c r="AV3" s="50"/>
      <c r="AW3" s="50"/>
      <c r="AX3" s="50"/>
      <c r="AY3" s="50"/>
      <c r="AZ3" s="50"/>
      <c r="BA3" s="50"/>
      <c r="BB3" s="50"/>
      <c r="BC3" s="50"/>
      <c r="BD3" s="50"/>
      <c r="BE3" s="50"/>
      <c r="BF3" s="50"/>
      <c r="BG3" s="50"/>
      <c r="BH3" s="50"/>
      <c r="BI3" s="50"/>
      <c r="BJ3" s="50"/>
      <c r="BK3" s="50"/>
      <c r="BL3" s="50"/>
      <c r="BM3" s="50"/>
      <c r="BN3" s="51"/>
      <c r="BO3" s="1" t="s">
        <v>6</v>
      </c>
    </row>
    <row r="4" spans="1:67" x14ac:dyDescent="0.2">
      <c r="A4" s="26" t="s">
        <v>7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8"/>
    </row>
    <row r="5" spans="1:67" ht="18.75" x14ac:dyDescent="0.2">
      <c r="A5" s="29"/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</row>
    <row r="6" spans="1:67" ht="15.75" x14ac:dyDescent="0.25">
      <c r="A6" s="2" t="s">
        <v>8</v>
      </c>
      <c r="B6" s="3"/>
      <c r="C6" s="3"/>
      <c r="D6" s="3"/>
      <c r="E6" s="3"/>
      <c r="F6" s="3"/>
      <c r="G6" s="3"/>
      <c r="H6" s="3"/>
      <c r="I6" s="3"/>
      <c r="J6" s="3" t="s">
        <v>9</v>
      </c>
      <c r="K6" s="3">
        <v>1</v>
      </c>
      <c r="L6" s="3"/>
      <c r="M6" s="3" t="s">
        <v>10</v>
      </c>
      <c r="N6" s="30">
        <v>2026</v>
      </c>
      <c r="O6" s="30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</row>
    <row r="7" spans="1:67" ht="15.7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</row>
    <row r="8" spans="1:67" ht="15.75" x14ac:dyDescent="0.25">
      <c r="A8" s="31" t="s">
        <v>11</v>
      </c>
      <c r="B8" s="33" t="s">
        <v>12</v>
      </c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5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36" t="s">
        <v>13</v>
      </c>
    </row>
    <row r="9" spans="1:67" x14ac:dyDescent="0.2">
      <c r="A9" s="31"/>
      <c r="B9" s="5" t="s">
        <v>14</v>
      </c>
      <c r="C9" s="5" t="s">
        <v>15</v>
      </c>
      <c r="D9" s="5" t="s">
        <v>16</v>
      </c>
      <c r="E9" s="5" t="s">
        <v>17</v>
      </c>
      <c r="F9" s="5" t="s">
        <v>18</v>
      </c>
      <c r="G9" s="5" t="s">
        <v>19</v>
      </c>
      <c r="H9" s="5" t="s">
        <v>20</v>
      </c>
      <c r="I9" s="5" t="s">
        <v>21</v>
      </c>
      <c r="J9" s="5" t="s">
        <v>22</v>
      </c>
      <c r="K9" s="5" t="s">
        <v>23</v>
      </c>
      <c r="L9" s="5" t="s">
        <v>24</v>
      </c>
      <c r="M9" s="5" t="s">
        <v>25</v>
      </c>
      <c r="N9" s="5" t="s">
        <v>26</v>
      </c>
      <c r="O9" s="5" t="s">
        <v>27</v>
      </c>
      <c r="P9" s="5" t="s">
        <v>28</v>
      </c>
      <c r="Q9" s="5" t="s">
        <v>29</v>
      </c>
      <c r="R9" s="5" t="s">
        <v>30</v>
      </c>
      <c r="S9" s="5" t="s">
        <v>31</v>
      </c>
      <c r="T9" s="5" t="s">
        <v>32</v>
      </c>
      <c r="U9" s="5" t="s">
        <v>33</v>
      </c>
      <c r="V9" s="5" t="s">
        <v>34</v>
      </c>
      <c r="W9" s="5" t="s">
        <v>35</v>
      </c>
      <c r="X9" s="5" t="s">
        <v>36</v>
      </c>
      <c r="Y9" s="5" t="s">
        <v>37</v>
      </c>
      <c r="Z9" s="5" t="s">
        <v>38</v>
      </c>
      <c r="AA9" s="5" t="s">
        <v>39</v>
      </c>
      <c r="AB9" s="5" t="s">
        <v>40</v>
      </c>
      <c r="AC9" s="5" t="s">
        <v>41</v>
      </c>
      <c r="AD9" s="5" t="s">
        <v>42</v>
      </c>
      <c r="AE9" s="5" t="s">
        <v>43</v>
      </c>
      <c r="AF9" s="5" t="s">
        <v>44</v>
      </c>
      <c r="AG9" s="5" t="s">
        <v>45</v>
      </c>
      <c r="AH9" s="5" t="s">
        <v>46</v>
      </c>
      <c r="AI9" s="5" t="s">
        <v>47</v>
      </c>
      <c r="AJ9" s="5" t="s">
        <v>48</v>
      </c>
      <c r="AK9" s="5" t="s">
        <v>49</v>
      </c>
      <c r="AL9" s="5" t="s">
        <v>50</v>
      </c>
      <c r="AM9" s="5" t="s">
        <v>51</v>
      </c>
      <c r="AN9" s="5" t="s">
        <v>52</v>
      </c>
      <c r="AO9" s="5" t="s">
        <v>53</v>
      </c>
      <c r="AP9" s="5" t="s">
        <v>54</v>
      </c>
      <c r="AQ9" s="5" t="s">
        <v>55</v>
      </c>
      <c r="AR9" s="5" t="s">
        <v>56</v>
      </c>
      <c r="AS9" s="5" t="s">
        <v>57</v>
      </c>
      <c r="AT9" s="5" t="s">
        <v>58</v>
      </c>
      <c r="AU9" s="5" t="s">
        <v>59</v>
      </c>
      <c r="AV9" s="5" t="s">
        <v>60</v>
      </c>
      <c r="AW9" s="5" t="s">
        <v>61</v>
      </c>
      <c r="AX9" s="5" t="s">
        <v>62</v>
      </c>
      <c r="AY9" s="5" t="s">
        <v>63</v>
      </c>
      <c r="AZ9" s="5" t="s">
        <v>64</v>
      </c>
      <c r="BA9" s="5" t="s">
        <v>65</v>
      </c>
      <c r="BB9" s="5" t="s">
        <v>66</v>
      </c>
      <c r="BC9" s="5" t="s">
        <v>67</v>
      </c>
      <c r="BD9" s="5" t="s">
        <v>68</v>
      </c>
      <c r="BE9" s="5" t="s">
        <v>69</v>
      </c>
      <c r="BF9" s="5" t="s">
        <v>70</v>
      </c>
      <c r="BG9" s="5" t="s">
        <v>71</v>
      </c>
      <c r="BH9" s="5" t="s">
        <v>72</v>
      </c>
      <c r="BI9" s="5" t="s">
        <v>73</v>
      </c>
      <c r="BJ9" s="5" t="s">
        <v>74</v>
      </c>
      <c r="BK9" s="5" t="s">
        <v>75</v>
      </c>
      <c r="BL9" s="5" t="s">
        <v>76</v>
      </c>
      <c r="BM9" s="5" t="s">
        <v>77</v>
      </c>
      <c r="BN9" s="5" t="s">
        <v>78</v>
      </c>
      <c r="BO9" s="37"/>
    </row>
    <row r="10" spans="1:67" ht="30" x14ac:dyDescent="0.25">
      <c r="A10" s="31"/>
      <c r="B10" s="6" t="s">
        <v>79</v>
      </c>
      <c r="C10" s="7" t="s">
        <v>80</v>
      </c>
      <c r="D10" s="8" t="s">
        <v>81</v>
      </c>
      <c r="E10" s="7" t="s">
        <v>82</v>
      </c>
      <c r="F10" s="7" t="s">
        <v>83</v>
      </c>
      <c r="G10" s="7" t="s">
        <v>84</v>
      </c>
      <c r="H10" s="7" t="s">
        <v>85</v>
      </c>
      <c r="I10" s="7" t="s">
        <v>86</v>
      </c>
      <c r="J10" s="7" t="s">
        <v>87</v>
      </c>
      <c r="K10" s="7" t="s">
        <v>88</v>
      </c>
      <c r="L10" s="7" t="s">
        <v>89</v>
      </c>
      <c r="M10" s="7" t="s">
        <v>90</v>
      </c>
      <c r="N10" s="7" t="s">
        <v>91</v>
      </c>
      <c r="O10" s="7" t="s">
        <v>92</v>
      </c>
      <c r="P10" s="7" t="s">
        <v>93</v>
      </c>
      <c r="Q10" s="7" t="s">
        <v>94</v>
      </c>
      <c r="R10" s="7" t="s">
        <v>95</v>
      </c>
      <c r="S10" s="7" t="s">
        <v>96</v>
      </c>
      <c r="T10" s="7" t="s">
        <v>97</v>
      </c>
      <c r="U10" s="8" t="s">
        <v>98</v>
      </c>
      <c r="V10" s="8" t="s">
        <v>99</v>
      </c>
      <c r="W10" s="7" t="s">
        <v>100</v>
      </c>
      <c r="X10" s="7" t="s">
        <v>101</v>
      </c>
      <c r="Y10" s="7" t="s">
        <v>102</v>
      </c>
      <c r="Z10" s="7" t="s">
        <v>103</v>
      </c>
      <c r="AA10" s="7" t="s">
        <v>104</v>
      </c>
      <c r="AB10" s="7" t="s">
        <v>105</v>
      </c>
      <c r="AC10" s="7" t="s">
        <v>106</v>
      </c>
      <c r="AD10" s="7" t="s">
        <v>107</v>
      </c>
      <c r="AE10" s="7" t="s">
        <v>108</v>
      </c>
      <c r="AF10" s="7" t="s">
        <v>109</v>
      </c>
      <c r="AG10" s="7" t="s">
        <v>110</v>
      </c>
      <c r="AH10" s="7" t="s">
        <v>111</v>
      </c>
      <c r="AI10" s="7" t="s">
        <v>112</v>
      </c>
      <c r="AJ10" s="7" t="s">
        <v>113</v>
      </c>
      <c r="AK10" s="8" t="s">
        <v>114</v>
      </c>
      <c r="AL10" s="8" t="s">
        <v>115</v>
      </c>
      <c r="AM10" s="8" t="s">
        <v>116</v>
      </c>
      <c r="AN10" s="8" t="s">
        <v>117</v>
      </c>
      <c r="AO10" s="8" t="s">
        <v>118</v>
      </c>
      <c r="AP10" s="8" t="s">
        <v>119</v>
      </c>
      <c r="AQ10" s="8" t="s">
        <v>120</v>
      </c>
      <c r="AR10" s="8" t="s">
        <v>121</v>
      </c>
      <c r="AS10" s="8" t="s">
        <v>122</v>
      </c>
      <c r="AT10" s="9" t="s">
        <v>123</v>
      </c>
      <c r="AU10" s="9" t="s">
        <v>124</v>
      </c>
      <c r="AV10" s="9" t="s">
        <v>125</v>
      </c>
      <c r="AW10" s="9" t="s">
        <v>126</v>
      </c>
      <c r="AX10" s="9" t="s">
        <v>127</v>
      </c>
      <c r="AY10" s="10" t="s">
        <v>128</v>
      </c>
      <c r="AZ10" s="11" t="s">
        <v>129</v>
      </c>
      <c r="BA10" s="11" t="s">
        <v>130</v>
      </c>
      <c r="BB10" s="11" t="s">
        <v>131</v>
      </c>
      <c r="BC10" s="11" t="s">
        <v>132</v>
      </c>
      <c r="BD10" s="11" t="s">
        <v>133</v>
      </c>
      <c r="BE10" s="12" t="s">
        <v>134</v>
      </c>
      <c r="BF10" s="9" t="s">
        <v>135</v>
      </c>
      <c r="BG10" s="9" t="s">
        <v>136</v>
      </c>
      <c r="BH10" s="9" t="s">
        <v>137</v>
      </c>
      <c r="BI10" s="9" t="s">
        <v>138</v>
      </c>
      <c r="BJ10" s="9" t="s">
        <v>139</v>
      </c>
      <c r="BK10" s="9" t="s">
        <v>140</v>
      </c>
      <c r="BL10" s="9" t="s">
        <v>141</v>
      </c>
      <c r="BM10" s="12"/>
      <c r="BN10" s="12"/>
      <c r="BO10" s="37"/>
    </row>
    <row r="11" spans="1:67" ht="15" x14ac:dyDescent="0.25">
      <c r="A11" s="32"/>
      <c r="B11" s="6" t="s">
        <v>142</v>
      </c>
      <c r="C11" s="13" t="s">
        <v>143</v>
      </c>
      <c r="D11" s="11" t="s">
        <v>144</v>
      </c>
      <c r="E11" s="14" t="s">
        <v>145</v>
      </c>
      <c r="F11" s="7" t="s">
        <v>146</v>
      </c>
      <c r="G11" s="7" t="s">
        <v>147</v>
      </c>
      <c r="H11" s="7" t="s">
        <v>148</v>
      </c>
      <c r="I11" s="7" t="s">
        <v>149</v>
      </c>
      <c r="J11" s="7" t="s">
        <v>150</v>
      </c>
      <c r="K11" s="7" t="s">
        <v>151</v>
      </c>
      <c r="L11" s="7" t="s">
        <v>152</v>
      </c>
      <c r="M11" s="7" t="s">
        <v>153</v>
      </c>
      <c r="N11" s="7" t="s">
        <v>154</v>
      </c>
      <c r="O11" s="7" t="s">
        <v>155</v>
      </c>
      <c r="P11" s="7" t="s">
        <v>156</v>
      </c>
      <c r="Q11" s="7" t="s">
        <v>157</v>
      </c>
      <c r="R11" s="7" t="s">
        <v>158</v>
      </c>
      <c r="S11" s="7" t="s">
        <v>159</v>
      </c>
      <c r="T11" s="7" t="s">
        <v>160</v>
      </c>
      <c r="U11" s="15" t="s">
        <v>161</v>
      </c>
      <c r="V11" s="15" t="s">
        <v>162</v>
      </c>
      <c r="W11" s="7" t="s">
        <v>163</v>
      </c>
      <c r="X11" s="7" t="s">
        <v>164</v>
      </c>
      <c r="Y11" s="7" t="s">
        <v>165</v>
      </c>
      <c r="Z11" s="7" t="s">
        <v>166</v>
      </c>
      <c r="AA11" s="7" t="s">
        <v>167</v>
      </c>
      <c r="AB11" s="7" t="s">
        <v>168</v>
      </c>
      <c r="AC11" s="7" t="s">
        <v>169</v>
      </c>
      <c r="AD11" s="7" t="s">
        <v>170</v>
      </c>
      <c r="AE11" s="7" t="s">
        <v>171</v>
      </c>
      <c r="AF11" s="7" t="s">
        <v>172</v>
      </c>
      <c r="AG11" s="7" t="s">
        <v>173</v>
      </c>
      <c r="AH11" s="7" t="s">
        <v>174</v>
      </c>
      <c r="AI11" s="7" t="s">
        <v>175</v>
      </c>
      <c r="AJ11" s="7" t="s">
        <v>176</v>
      </c>
      <c r="AK11" s="16" t="s">
        <v>177</v>
      </c>
      <c r="AL11" s="16" t="s">
        <v>178</v>
      </c>
      <c r="AM11" s="16" t="s">
        <v>179</v>
      </c>
      <c r="AN11" s="16" t="s">
        <v>180</v>
      </c>
      <c r="AO11" s="16" t="s">
        <v>181</v>
      </c>
      <c r="AP11" s="16" t="s">
        <v>182</v>
      </c>
      <c r="AQ11" s="17" t="s">
        <v>183</v>
      </c>
      <c r="AR11" s="17" t="s">
        <v>184</v>
      </c>
      <c r="AS11" s="17" t="s">
        <v>185</v>
      </c>
      <c r="AT11" s="17" t="s">
        <v>186</v>
      </c>
      <c r="AU11" s="17" t="s">
        <v>187</v>
      </c>
      <c r="AV11" s="17" t="s">
        <v>188</v>
      </c>
      <c r="AW11" s="17" t="s">
        <v>189</v>
      </c>
      <c r="AX11" s="17" t="s">
        <v>190</v>
      </c>
      <c r="AY11" s="16" t="s">
        <v>191</v>
      </c>
      <c r="AZ11" s="16" t="s">
        <v>192</v>
      </c>
      <c r="BA11" s="16" t="s">
        <v>193</v>
      </c>
      <c r="BB11" s="16" t="s">
        <v>194</v>
      </c>
      <c r="BC11" s="16" t="s">
        <v>195</v>
      </c>
      <c r="BD11" s="16" t="s">
        <v>196</v>
      </c>
      <c r="BE11" s="16" t="s">
        <v>197</v>
      </c>
      <c r="BF11" s="16" t="s">
        <v>198</v>
      </c>
      <c r="BG11" s="16" t="s">
        <v>199</v>
      </c>
      <c r="BH11" s="16" t="s">
        <v>200</v>
      </c>
      <c r="BI11" s="16" t="s">
        <v>201</v>
      </c>
      <c r="BJ11" s="16" t="s">
        <v>202</v>
      </c>
      <c r="BK11" s="16" t="s">
        <v>203</v>
      </c>
      <c r="BL11" s="16" t="s">
        <v>204</v>
      </c>
      <c r="BM11" s="16"/>
      <c r="BN11" s="18"/>
      <c r="BO11" s="38"/>
    </row>
    <row r="12" spans="1:67" ht="15.75" x14ac:dyDescent="0.2">
      <c r="A12" s="23">
        <f>DATE(N6,K6,1)</f>
        <v>46023</v>
      </c>
      <c r="B12" s="24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20"/>
      <c r="BJ12" s="20"/>
      <c r="BK12" s="20"/>
      <c r="BL12" s="20"/>
      <c r="BM12" s="20"/>
      <c r="BN12" s="20"/>
      <c r="BO12" s="19"/>
    </row>
    <row r="13" spans="1:67" ht="15.75" x14ac:dyDescent="0.2">
      <c r="A13" s="23">
        <f>A12+1</f>
        <v>46024</v>
      </c>
      <c r="B13" s="24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</row>
    <row r="14" spans="1:67" ht="15.75" x14ac:dyDescent="0.2">
      <c r="A14" s="23">
        <f t="shared" ref="A14:A39" si="0">A13+1</f>
        <v>46025</v>
      </c>
      <c r="B14" s="24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</row>
    <row r="15" spans="1:67" ht="15.75" x14ac:dyDescent="0.2">
      <c r="A15" s="23">
        <f t="shared" si="0"/>
        <v>46026</v>
      </c>
      <c r="B15" s="24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</row>
    <row r="16" spans="1:67" ht="15.75" x14ac:dyDescent="0.2">
      <c r="A16" s="23">
        <f t="shared" si="0"/>
        <v>46027</v>
      </c>
      <c r="B16" s="24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</row>
    <row r="17" spans="1:67" ht="15.75" x14ac:dyDescent="0.2">
      <c r="A17" s="23">
        <f t="shared" si="0"/>
        <v>46028</v>
      </c>
      <c r="B17" s="24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</row>
    <row r="18" spans="1:67" ht="15.75" x14ac:dyDescent="0.2">
      <c r="A18" s="23">
        <f t="shared" si="0"/>
        <v>46029</v>
      </c>
      <c r="B18" s="24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</row>
    <row r="19" spans="1:67" ht="15.75" x14ac:dyDescent="0.2">
      <c r="A19" s="23">
        <f t="shared" si="0"/>
        <v>46030</v>
      </c>
      <c r="B19" s="24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</row>
    <row r="20" spans="1:67" ht="15.75" x14ac:dyDescent="0.2">
      <c r="A20" s="23">
        <f t="shared" si="0"/>
        <v>46031</v>
      </c>
      <c r="B20" s="24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</row>
    <row r="21" spans="1:67" ht="15.75" x14ac:dyDescent="0.2">
      <c r="A21" s="23">
        <f t="shared" si="0"/>
        <v>46032</v>
      </c>
      <c r="B21" s="24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  <c r="BO21" s="19"/>
    </row>
    <row r="22" spans="1:67" ht="15.75" x14ac:dyDescent="0.2">
      <c r="A22" s="23">
        <f t="shared" si="0"/>
        <v>46033</v>
      </c>
      <c r="B22" s="24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</row>
    <row r="23" spans="1:67" ht="15.75" x14ac:dyDescent="0.2">
      <c r="A23" s="23">
        <f t="shared" si="0"/>
        <v>46034</v>
      </c>
      <c r="B23" s="24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</row>
    <row r="24" spans="1:67" ht="15.75" x14ac:dyDescent="0.2">
      <c r="A24" s="23">
        <f t="shared" si="0"/>
        <v>46035</v>
      </c>
      <c r="B24" s="24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</row>
    <row r="25" spans="1:67" ht="15.75" x14ac:dyDescent="0.2">
      <c r="A25" s="23">
        <f t="shared" si="0"/>
        <v>46036</v>
      </c>
      <c r="B25" s="24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/>
      <c r="BO25" s="19"/>
    </row>
    <row r="26" spans="1:67" ht="15.75" x14ac:dyDescent="0.2">
      <c r="A26" s="23">
        <f t="shared" si="0"/>
        <v>46037</v>
      </c>
      <c r="B26" s="24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</row>
    <row r="27" spans="1:67" ht="15.75" x14ac:dyDescent="0.2">
      <c r="A27" s="23">
        <f t="shared" si="0"/>
        <v>46038</v>
      </c>
      <c r="B27" s="24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</row>
    <row r="28" spans="1:67" ht="15.75" x14ac:dyDescent="0.2">
      <c r="A28" s="23">
        <f t="shared" si="0"/>
        <v>46039</v>
      </c>
      <c r="B28" s="24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</row>
    <row r="29" spans="1:67" ht="15.75" x14ac:dyDescent="0.2">
      <c r="A29" s="23">
        <f t="shared" si="0"/>
        <v>46040</v>
      </c>
      <c r="B29" s="24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</row>
    <row r="30" spans="1:67" ht="15.75" x14ac:dyDescent="0.2">
      <c r="A30" s="23">
        <f t="shared" si="0"/>
        <v>46041</v>
      </c>
      <c r="B30" s="24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</row>
    <row r="31" spans="1:67" ht="15.75" x14ac:dyDescent="0.2">
      <c r="A31" s="23">
        <f t="shared" si="0"/>
        <v>46042</v>
      </c>
      <c r="B31" s="24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</row>
    <row r="32" spans="1:67" ht="15.75" x14ac:dyDescent="0.2">
      <c r="A32" s="23">
        <f t="shared" si="0"/>
        <v>46043</v>
      </c>
      <c r="B32" s="24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</row>
    <row r="33" spans="1:67" ht="15.75" x14ac:dyDescent="0.2">
      <c r="A33" s="23">
        <f t="shared" si="0"/>
        <v>46044</v>
      </c>
      <c r="B33" s="24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19"/>
      <c r="BN33" s="19"/>
      <c r="BO33" s="19"/>
    </row>
    <row r="34" spans="1:67" ht="15.75" x14ac:dyDescent="0.2">
      <c r="A34" s="23">
        <f>A33+1</f>
        <v>46045</v>
      </c>
      <c r="B34" s="24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/>
      <c r="BG34" s="19"/>
      <c r="BH34" s="19"/>
      <c r="BI34" s="19"/>
      <c r="BJ34" s="19"/>
      <c r="BK34" s="19"/>
      <c r="BL34" s="19"/>
      <c r="BM34" s="19"/>
      <c r="BN34" s="19"/>
      <c r="BO34" s="19"/>
    </row>
    <row r="35" spans="1:67" ht="15.75" x14ac:dyDescent="0.2">
      <c r="A35" s="23">
        <f t="shared" si="0"/>
        <v>46046</v>
      </c>
      <c r="B35" s="24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/>
      <c r="BG35" s="19"/>
      <c r="BH35" s="19"/>
      <c r="BI35" s="19"/>
      <c r="BJ35" s="19"/>
      <c r="BK35" s="19"/>
      <c r="BL35" s="19"/>
      <c r="BM35" s="19"/>
      <c r="BN35" s="19"/>
      <c r="BO35" s="19"/>
    </row>
    <row r="36" spans="1:67" ht="15.75" x14ac:dyDescent="0.2">
      <c r="A36" s="23">
        <f t="shared" si="0"/>
        <v>46047</v>
      </c>
      <c r="B36" s="24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19"/>
      <c r="BJ36" s="19"/>
      <c r="BK36" s="19"/>
      <c r="BL36" s="19"/>
      <c r="BM36" s="19"/>
      <c r="BN36" s="19"/>
      <c r="BO36" s="19"/>
    </row>
    <row r="37" spans="1:67" ht="15.75" x14ac:dyDescent="0.2">
      <c r="A37" s="23">
        <f t="shared" si="0"/>
        <v>46048</v>
      </c>
      <c r="B37" s="24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19"/>
      <c r="BJ37" s="19"/>
      <c r="BK37" s="19"/>
      <c r="BL37" s="19"/>
      <c r="BM37" s="19"/>
      <c r="BN37" s="19"/>
      <c r="BO37" s="19"/>
    </row>
    <row r="38" spans="1:67" ht="15.75" x14ac:dyDescent="0.2">
      <c r="A38" s="23">
        <f t="shared" si="0"/>
        <v>46049</v>
      </c>
      <c r="B38" s="24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/>
      <c r="BG38" s="19"/>
      <c r="BH38" s="19"/>
      <c r="BI38" s="19"/>
      <c r="BJ38" s="19"/>
      <c r="BK38" s="19"/>
      <c r="BL38" s="19"/>
      <c r="BM38" s="19"/>
      <c r="BN38" s="19"/>
      <c r="BO38" s="19"/>
    </row>
    <row r="39" spans="1:67" ht="15.75" x14ac:dyDescent="0.2">
      <c r="A39" s="23">
        <f t="shared" si="0"/>
        <v>46050</v>
      </c>
      <c r="B39" s="24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/>
      <c r="BG39" s="19"/>
      <c r="BH39" s="19"/>
      <c r="BI39" s="19"/>
      <c r="BJ39" s="19"/>
      <c r="BK39" s="19"/>
      <c r="BL39" s="19"/>
      <c r="BM39" s="19"/>
      <c r="BN39" s="19"/>
      <c r="BO39" s="19"/>
    </row>
    <row r="40" spans="1:67" ht="15.75" x14ac:dyDescent="0.2">
      <c r="A40" s="23">
        <f>IF(A39="","",IF(A39=EOMONTH(DATE($N$6,$K$6,1),0),"",A39+1))</f>
        <v>46051</v>
      </c>
      <c r="B40" s="24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/>
      <c r="BG40" s="19"/>
      <c r="BH40" s="19"/>
      <c r="BI40" s="19"/>
      <c r="BJ40" s="19"/>
      <c r="BK40" s="19"/>
      <c r="BL40" s="19"/>
      <c r="BM40" s="19"/>
      <c r="BN40" s="19"/>
      <c r="BO40" s="19"/>
    </row>
    <row r="41" spans="1:67" ht="15.75" x14ac:dyDescent="0.2">
      <c r="A41" s="23">
        <f>IF(A40="","",IF(A40=EOMONTH(DATE($N$6,$K$6,1),0),"",A40+1))</f>
        <v>46052</v>
      </c>
      <c r="B41" s="24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/>
      <c r="BG41" s="19"/>
      <c r="BH41" s="19"/>
      <c r="BI41" s="19"/>
      <c r="BJ41" s="19"/>
      <c r="BK41" s="19"/>
      <c r="BL41" s="19"/>
      <c r="BM41" s="19"/>
      <c r="BN41" s="19"/>
      <c r="BO41" s="19"/>
    </row>
    <row r="42" spans="1:67" ht="15.75" x14ac:dyDescent="0.2">
      <c r="A42" s="23">
        <f>IF(A41="","",IF(A41=EOMONTH(DATE($N$6,$K$6,1),0),"",A41+1))</f>
        <v>46053</v>
      </c>
      <c r="B42" s="24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/>
      <c r="BG42" s="19"/>
      <c r="BH42" s="19"/>
      <c r="BI42" s="19"/>
      <c r="BJ42" s="19"/>
      <c r="BK42" s="19"/>
      <c r="BL42" s="19"/>
      <c r="BM42" s="19"/>
      <c r="BN42" s="19"/>
      <c r="BO42" s="19"/>
    </row>
    <row r="43" spans="1:67" ht="13.5" x14ac:dyDescent="0.25">
      <c r="A43" s="21" t="s">
        <v>205</v>
      </c>
      <c r="B43" s="25" t="s">
        <v>206</v>
      </c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</row>
    <row r="44" spans="1:67" x14ac:dyDescent="0.2">
      <c r="A44" s="22"/>
      <c r="B44" s="22" t="s">
        <v>207</v>
      </c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 t="s">
        <v>208</v>
      </c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</row>
  </sheetData>
  <mergeCells count="45">
    <mergeCell ref="A1:A3"/>
    <mergeCell ref="B1:M3"/>
    <mergeCell ref="N1:BO1"/>
    <mergeCell ref="N2:P2"/>
    <mergeCell ref="Q2:BN2"/>
    <mergeCell ref="N3:P3"/>
    <mergeCell ref="Q3:BN3"/>
    <mergeCell ref="A4:BO4"/>
    <mergeCell ref="A5:BO5"/>
    <mergeCell ref="N6:O6"/>
    <mergeCell ref="A8:A11"/>
    <mergeCell ref="B8:P8"/>
    <mergeCell ref="BO8:BO11"/>
    <mergeCell ref="A23:B23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35:B35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42:B42"/>
    <mergeCell ref="B43:N43"/>
    <mergeCell ref="A36:B36"/>
    <mergeCell ref="A37:B37"/>
    <mergeCell ref="A38:B38"/>
    <mergeCell ref="A39:B39"/>
    <mergeCell ref="A40:B40"/>
    <mergeCell ref="A41:B41"/>
  </mergeCells>
  <conditionalFormatting sqref="AR10">
    <cfRule type="duplicateValues" dxfId="23" priority="2"/>
  </conditionalFormatting>
  <conditionalFormatting sqref="AS10">
    <cfRule type="duplicateValues" dxfId="22" priority="1"/>
  </conditionalFormatting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3315" r:id="rId3" name="Spinner 3">
              <controlPr defaultSize="0" autoPict="0">
                <anchor moveWithCells="1" sizeWithCells="1">
                  <from>
                    <xdr:col>11</xdr:col>
                    <xdr:colOff>19050</xdr:colOff>
                    <xdr:row>4</xdr:row>
                    <xdr:rowOff>123825</xdr:rowOff>
                  </from>
                  <to>
                    <xdr:col>11</xdr:col>
                    <xdr:colOff>342900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6" r:id="rId4" name="Spinner 4">
              <controlPr defaultSize="0" autoPict="0">
                <anchor moveWithCells="1" sizeWithCells="1">
                  <from>
                    <xdr:col>15</xdr:col>
                    <xdr:colOff>0</xdr:colOff>
                    <xdr:row>4</xdr:row>
                    <xdr:rowOff>123825</xdr:rowOff>
                  </from>
                  <to>
                    <xdr:col>15</xdr:col>
                    <xdr:colOff>323850</xdr:colOff>
                    <xdr:row>6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O44"/>
  <sheetViews>
    <sheetView zoomScale="70" zoomScaleNormal="70" workbookViewId="0">
      <selection activeCell="K30" sqref="K30"/>
    </sheetView>
  </sheetViews>
  <sheetFormatPr defaultRowHeight="12.75" x14ac:dyDescent="0.2"/>
  <cols>
    <col min="1" max="2" width="23.5" bestFit="1" customWidth="1"/>
    <col min="3" max="3" width="31.6640625" bestFit="1" customWidth="1"/>
    <col min="4" max="4" width="47" bestFit="1" customWidth="1"/>
    <col min="5" max="5" width="40.6640625" bestFit="1" customWidth="1"/>
    <col min="6" max="6" width="32.83203125" bestFit="1" customWidth="1"/>
    <col min="7" max="7" width="32" bestFit="1" customWidth="1"/>
    <col min="8" max="13" width="32.5" bestFit="1" customWidth="1"/>
    <col min="14" max="14" width="34.5" bestFit="1" customWidth="1"/>
    <col min="15" max="15" width="34.1640625" bestFit="1" customWidth="1"/>
    <col min="16" max="16" width="33.6640625" bestFit="1" customWidth="1"/>
    <col min="17" max="17" width="25.6640625" bestFit="1" customWidth="1"/>
    <col min="18" max="19" width="25" bestFit="1" customWidth="1"/>
    <col min="20" max="20" width="35.1640625" bestFit="1" customWidth="1"/>
    <col min="21" max="22" width="37.5" bestFit="1" customWidth="1"/>
    <col min="23" max="23" width="42.5" bestFit="1" customWidth="1"/>
    <col min="24" max="25" width="41.83203125" bestFit="1" customWidth="1"/>
    <col min="26" max="26" width="39.6640625" bestFit="1" customWidth="1"/>
    <col min="27" max="27" width="39" bestFit="1" customWidth="1"/>
    <col min="28" max="34" width="40.1640625" bestFit="1" customWidth="1"/>
    <col min="35" max="35" width="39.6640625" bestFit="1" customWidth="1"/>
    <col min="36" max="36" width="28.5" bestFit="1" customWidth="1"/>
    <col min="37" max="38" width="47.83203125" bestFit="1" customWidth="1"/>
    <col min="39" max="39" width="49" bestFit="1" customWidth="1"/>
    <col min="40" max="40" width="49.5" bestFit="1" customWidth="1"/>
    <col min="41" max="41" width="46.33203125" bestFit="1" customWidth="1"/>
    <col min="42" max="42" width="46.6640625" bestFit="1" customWidth="1"/>
    <col min="43" max="43" width="34" bestFit="1" customWidth="1"/>
    <col min="44" max="45" width="26.6640625" bestFit="1" customWidth="1"/>
    <col min="46" max="47" width="30.33203125" bestFit="1" customWidth="1"/>
    <col min="48" max="48" width="35.83203125" bestFit="1" customWidth="1"/>
    <col min="49" max="49" width="37" bestFit="1" customWidth="1"/>
    <col min="50" max="50" width="33.33203125" bestFit="1" customWidth="1"/>
    <col min="51" max="51" width="34.1640625" bestFit="1" customWidth="1"/>
    <col min="52" max="52" width="33.5" bestFit="1" customWidth="1"/>
    <col min="53" max="54" width="36.6640625" bestFit="1" customWidth="1"/>
    <col min="55" max="56" width="43.33203125" bestFit="1" customWidth="1"/>
    <col min="57" max="57" width="41.6640625" bestFit="1" customWidth="1"/>
    <col min="58" max="58" width="44.1640625" bestFit="1" customWidth="1"/>
    <col min="59" max="59" width="32" bestFit="1" customWidth="1"/>
    <col min="60" max="60" width="39.1640625" bestFit="1" customWidth="1"/>
    <col min="61" max="61" width="35.6640625" bestFit="1" customWidth="1"/>
    <col min="62" max="62" width="30.6640625" bestFit="1" customWidth="1"/>
    <col min="63" max="63" width="44" bestFit="1" customWidth="1"/>
    <col min="64" max="64" width="39" bestFit="1" customWidth="1"/>
    <col min="65" max="66" width="6.83203125" bestFit="1" customWidth="1"/>
    <col min="67" max="67" width="14.6640625" bestFit="1" customWidth="1"/>
  </cols>
  <sheetData>
    <row r="1" spans="1:67" x14ac:dyDescent="0.2">
      <c r="A1" s="39" t="s">
        <v>0</v>
      </c>
      <c r="B1" s="40" t="s">
        <v>1</v>
      </c>
      <c r="C1" s="41"/>
      <c r="D1" s="41"/>
      <c r="E1" s="41"/>
      <c r="F1" s="41"/>
      <c r="G1" s="41"/>
      <c r="H1" s="41"/>
      <c r="I1" s="41"/>
      <c r="J1" s="41"/>
      <c r="K1" s="41"/>
      <c r="L1" s="41"/>
      <c r="M1" s="42"/>
      <c r="N1" s="49" t="s">
        <v>2</v>
      </c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  <c r="AJ1" s="50"/>
      <c r="AK1" s="50"/>
      <c r="AL1" s="50"/>
      <c r="AM1" s="50"/>
      <c r="AN1" s="50"/>
      <c r="AO1" s="50"/>
      <c r="AP1" s="50"/>
      <c r="AQ1" s="50"/>
      <c r="AR1" s="50"/>
      <c r="AS1" s="50"/>
      <c r="AT1" s="50"/>
      <c r="AU1" s="50"/>
      <c r="AV1" s="50"/>
      <c r="AW1" s="50"/>
      <c r="AX1" s="50"/>
      <c r="AY1" s="50"/>
      <c r="AZ1" s="50"/>
      <c r="BA1" s="50"/>
      <c r="BB1" s="50"/>
      <c r="BC1" s="50"/>
      <c r="BD1" s="50"/>
      <c r="BE1" s="50"/>
      <c r="BF1" s="50"/>
      <c r="BG1" s="50"/>
      <c r="BH1" s="50"/>
      <c r="BI1" s="50"/>
      <c r="BJ1" s="50"/>
      <c r="BK1" s="50"/>
      <c r="BL1" s="50"/>
      <c r="BM1" s="50"/>
      <c r="BN1" s="50"/>
      <c r="BO1" s="51"/>
    </row>
    <row r="2" spans="1:67" x14ac:dyDescent="0.2">
      <c r="A2" s="39"/>
      <c r="B2" s="43"/>
      <c r="C2" s="44"/>
      <c r="D2" s="44"/>
      <c r="E2" s="44"/>
      <c r="F2" s="44"/>
      <c r="G2" s="44"/>
      <c r="H2" s="44"/>
      <c r="I2" s="44"/>
      <c r="J2" s="44"/>
      <c r="K2" s="44"/>
      <c r="L2" s="44"/>
      <c r="M2" s="45"/>
      <c r="N2" s="49" t="s">
        <v>3</v>
      </c>
      <c r="O2" s="50"/>
      <c r="P2" s="51"/>
      <c r="Q2" s="49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50"/>
      <c r="AO2" s="50"/>
      <c r="AP2" s="50"/>
      <c r="AQ2" s="50"/>
      <c r="AR2" s="50"/>
      <c r="AS2" s="50"/>
      <c r="AT2" s="50"/>
      <c r="AU2" s="50"/>
      <c r="AV2" s="50"/>
      <c r="AW2" s="50"/>
      <c r="AX2" s="50"/>
      <c r="AY2" s="50"/>
      <c r="AZ2" s="50"/>
      <c r="BA2" s="50"/>
      <c r="BB2" s="50"/>
      <c r="BC2" s="50"/>
      <c r="BD2" s="50"/>
      <c r="BE2" s="50"/>
      <c r="BF2" s="50"/>
      <c r="BG2" s="50"/>
      <c r="BH2" s="50"/>
      <c r="BI2" s="50"/>
      <c r="BJ2" s="50"/>
      <c r="BK2" s="50"/>
      <c r="BL2" s="50"/>
      <c r="BM2" s="50"/>
      <c r="BN2" s="51"/>
      <c r="BO2" s="1" t="s">
        <v>4</v>
      </c>
    </row>
    <row r="3" spans="1:67" x14ac:dyDescent="0.2">
      <c r="A3" s="39"/>
      <c r="B3" s="46"/>
      <c r="C3" s="47"/>
      <c r="D3" s="47"/>
      <c r="E3" s="47"/>
      <c r="F3" s="47"/>
      <c r="G3" s="47"/>
      <c r="H3" s="47"/>
      <c r="I3" s="47"/>
      <c r="J3" s="47"/>
      <c r="K3" s="47"/>
      <c r="L3" s="47"/>
      <c r="M3" s="48"/>
      <c r="N3" s="49" t="s">
        <v>5</v>
      </c>
      <c r="O3" s="50"/>
      <c r="P3" s="51"/>
      <c r="Q3" s="49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/>
      <c r="AS3" s="50"/>
      <c r="AT3" s="50"/>
      <c r="AU3" s="50"/>
      <c r="AV3" s="50"/>
      <c r="AW3" s="50"/>
      <c r="AX3" s="50"/>
      <c r="AY3" s="50"/>
      <c r="AZ3" s="50"/>
      <c r="BA3" s="50"/>
      <c r="BB3" s="50"/>
      <c r="BC3" s="50"/>
      <c r="BD3" s="50"/>
      <c r="BE3" s="50"/>
      <c r="BF3" s="50"/>
      <c r="BG3" s="50"/>
      <c r="BH3" s="50"/>
      <c r="BI3" s="50"/>
      <c r="BJ3" s="50"/>
      <c r="BK3" s="50"/>
      <c r="BL3" s="50"/>
      <c r="BM3" s="50"/>
      <c r="BN3" s="51"/>
      <c r="BO3" s="1" t="s">
        <v>6</v>
      </c>
    </row>
    <row r="4" spans="1:67" x14ac:dyDescent="0.2">
      <c r="A4" s="26" t="s">
        <v>7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8"/>
    </row>
    <row r="5" spans="1:67" ht="18.75" x14ac:dyDescent="0.2">
      <c r="A5" s="29"/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</row>
    <row r="6" spans="1:67" ht="15.75" x14ac:dyDescent="0.25">
      <c r="A6" s="2" t="s">
        <v>8</v>
      </c>
      <c r="B6" s="3"/>
      <c r="C6" s="3"/>
      <c r="D6" s="3"/>
      <c r="E6" s="3"/>
      <c r="F6" s="3"/>
      <c r="G6" s="3"/>
      <c r="H6" s="3"/>
      <c r="I6" s="3"/>
      <c r="J6" s="3" t="s">
        <v>9</v>
      </c>
      <c r="K6" s="3">
        <v>2</v>
      </c>
      <c r="L6" s="3"/>
      <c r="M6" s="3" t="s">
        <v>10</v>
      </c>
      <c r="N6" s="30">
        <v>2026</v>
      </c>
      <c r="O6" s="30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</row>
    <row r="7" spans="1:67" ht="15.7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</row>
    <row r="8" spans="1:67" ht="15.75" x14ac:dyDescent="0.25">
      <c r="A8" s="31" t="s">
        <v>11</v>
      </c>
      <c r="B8" s="33" t="s">
        <v>12</v>
      </c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5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36" t="s">
        <v>13</v>
      </c>
    </row>
    <row r="9" spans="1:67" x14ac:dyDescent="0.2">
      <c r="A9" s="31"/>
      <c r="B9" s="5" t="s">
        <v>14</v>
      </c>
      <c r="C9" s="5" t="s">
        <v>15</v>
      </c>
      <c r="D9" s="5" t="s">
        <v>16</v>
      </c>
      <c r="E9" s="5" t="s">
        <v>17</v>
      </c>
      <c r="F9" s="5" t="s">
        <v>18</v>
      </c>
      <c r="G9" s="5" t="s">
        <v>19</v>
      </c>
      <c r="H9" s="5" t="s">
        <v>20</v>
      </c>
      <c r="I9" s="5" t="s">
        <v>21</v>
      </c>
      <c r="J9" s="5" t="s">
        <v>22</v>
      </c>
      <c r="K9" s="5" t="s">
        <v>23</v>
      </c>
      <c r="L9" s="5" t="s">
        <v>24</v>
      </c>
      <c r="M9" s="5" t="s">
        <v>25</v>
      </c>
      <c r="N9" s="5" t="s">
        <v>26</v>
      </c>
      <c r="O9" s="5" t="s">
        <v>27</v>
      </c>
      <c r="P9" s="5" t="s">
        <v>28</v>
      </c>
      <c r="Q9" s="5" t="s">
        <v>29</v>
      </c>
      <c r="R9" s="5" t="s">
        <v>30</v>
      </c>
      <c r="S9" s="5" t="s">
        <v>31</v>
      </c>
      <c r="T9" s="5" t="s">
        <v>32</v>
      </c>
      <c r="U9" s="5" t="s">
        <v>33</v>
      </c>
      <c r="V9" s="5" t="s">
        <v>34</v>
      </c>
      <c r="W9" s="5" t="s">
        <v>35</v>
      </c>
      <c r="X9" s="5" t="s">
        <v>36</v>
      </c>
      <c r="Y9" s="5" t="s">
        <v>37</v>
      </c>
      <c r="Z9" s="5" t="s">
        <v>38</v>
      </c>
      <c r="AA9" s="5" t="s">
        <v>39</v>
      </c>
      <c r="AB9" s="5" t="s">
        <v>40</v>
      </c>
      <c r="AC9" s="5" t="s">
        <v>41</v>
      </c>
      <c r="AD9" s="5" t="s">
        <v>42</v>
      </c>
      <c r="AE9" s="5" t="s">
        <v>43</v>
      </c>
      <c r="AF9" s="5" t="s">
        <v>44</v>
      </c>
      <c r="AG9" s="5" t="s">
        <v>45</v>
      </c>
      <c r="AH9" s="5" t="s">
        <v>46</v>
      </c>
      <c r="AI9" s="5" t="s">
        <v>47</v>
      </c>
      <c r="AJ9" s="5" t="s">
        <v>48</v>
      </c>
      <c r="AK9" s="5" t="s">
        <v>49</v>
      </c>
      <c r="AL9" s="5" t="s">
        <v>50</v>
      </c>
      <c r="AM9" s="5" t="s">
        <v>51</v>
      </c>
      <c r="AN9" s="5" t="s">
        <v>52</v>
      </c>
      <c r="AO9" s="5" t="s">
        <v>53</v>
      </c>
      <c r="AP9" s="5" t="s">
        <v>54</v>
      </c>
      <c r="AQ9" s="5" t="s">
        <v>55</v>
      </c>
      <c r="AR9" s="5" t="s">
        <v>56</v>
      </c>
      <c r="AS9" s="5" t="s">
        <v>57</v>
      </c>
      <c r="AT9" s="5" t="s">
        <v>58</v>
      </c>
      <c r="AU9" s="5" t="s">
        <v>59</v>
      </c>
      <c r="AV9" s="5" t="s">
        <v>60</v>
      </c>
      <c r="AW9" s="5" t="s">
        <v>61</v>
      </c>
      <c r="AX9" s="5" t="s">
        <v>62</v>
      </c>
      <c r="AY9" s="5" t="s">
        <v>63</v>
      </c>
      <c r="AZ9" s="5" t="s">
        <v>64</v>
      </c>
      <c r="BA9" s="5" t="s">
        <v>65</v>
      </c>
      <c r="BB9" s="5" t="s">
        <v>66</v>
      </c>
      <c r="BC9" s="5" t="s">
        <v>67</v>
      </c>
      <c r="BD9" s="5" t="s">
        <v>68</v>
      </c>
      <c r="BE9" s="5" t="s">
        <v>69</v>
      </c>
      <c r="BF9" s="5" t="s">
        <v>70</v>
      </c>
      <c r="BG9" s="5" t="s">
        <v>71</v>
      </c>
      <c r="BH9" s="5" t="s">
        <v>72</v>
      </c>
      <c r="BI9" s="5" t="s">
        <v>73</v>
      </c>
      <c r="BJ9" s="5" t="s">
        <v>74</v>
      </c>
      <c r="BK9" s="5" t="s">
        <v>75</v>
      </c>
      <c r="BL9" s="5" t="s">
        <v>76</v>
      </c>
      <c r="BM9" s="5" t="s">
        <v>77</v>
      </c>
      <c r="BN9" s="5" t="s">
        <v>78</v>
      </c>
      <c r="BO9" s="37"/>
    </row>
    <row r="10" spans="1:67" ht="30" x14ac:dyDescent="0.25">
      <c r="A10" s="31"/>
      <c r="B10" s="6" t="s">
        <v>79</v>
      </c>
      <c r="C10" s="7" t="s">
        <v>80</v>
      </c>
      <c r="D10" s="8" t="s">
        <v>81</v>
      </c>
      <c r="E10" s="7" t="s">
        <v>82</v>
      </c>
      <c r="F10" s="7" t="s">
        <v>83</v>
      </c>
      <c r="G10" s="7" t="s">
        <v>84</v>
      </c>
      <c r="H10" s="7" t="s">
        <v>85</v>
      </c>
      <c r="I10" s="7" t="s">
        <v>86</v>
      </c>
      <c r="J10" s="7" t="s">
        <v>87</v>
      </c>
      <c r="K10" s="7" t="s">
        <v>88</v>
      </c>
      <c r="L10" s="7" t="s">
        <v>89</v>
      </c>
      <c r="M10" s="7" t="s">
        <v>90</v>
      </c>
      <c r="N10" s="7" t="s">
        <v>91</v>
      </c>
      <c r="O10" s="7" t="s">
        <v>92</v>
      </c>
      <c r="P10" s="7" t="s">
        <v>93</v>
      </c>
      <c r="Q10" s="7" t="s">
        <v>94</v>
      </c>
      <c r="R10" s="7" t="s">
        <v>95</v>
      </c>
      <c r="S10" s="7" t="s">
        <v>96</v>
      </c>
      <c r="T10" s="7" t="s">
        <v>97</v>
      </c>
      <c r="U10" s="8" t="s">
        <v>98</v>
      </c>
      <c r="V10" s="8" t="s">
        <v>99</v>
      </c>
      <c r="W10" s="7" t="s">
        <v>100</v>
      </c>
      <c r="X10" s="7" t="s">
        <v>101</v>
      </c>
      <c r="Y10" s="7" t="s">
        <v>102</v>
      </c>
      <c r="Z10" s="7" t="s">
        <v>103</v>
      </c>
      <c r="AA10" s="7" t="s">
        <v>104</v>
      </c>
      <c r="AB10" s="7" t="s">
        <v>105</v>
      </c>
      <c r="AC10" s="7" t="s">
        <v>106</v>
      </c>
      <c r="AD10" s="7" t="s">
        <v>107</v>
      </c>
      <c r="AE10" s="7" t="s">
        <v>108</v>
      </c>
      <c r="AF10" s="7" t="s">
        <v>109</v>
      </c>
      <c r="AG10" s="7" t="s">
        <v>110</v>
      </c>
      <c r="AH10" s="7" t="s">
        <v>111</v>
      </c>
      <c r="AI10" s="7" t="s">
        <v>112</v>
      </c>
      <c r="AJ10" s="7" t="s">
        <v>113</v>
      </c>
      <c r="AK10" s="8" t="s">
        <v>114</v>
      </c>
      <c r="AL10" s="8" t="s">
        <v>115</v>
      </c>
      <c r="AM10" s="8" t="s">
        <v>116</v>
      </c>
      <c r="AN10" s="8" t="s">
        <v>117</v>
      </c>
      <c r="AO10" s="8" t="s">
        <v>118</v>
      </c>
      <c r="AP10" s="8" t="s">
        <v>119</v>
      </c>
      <c r="AQ10" s="8" t="s">
        <v>120</v>
      </c>
      <c r="AR10" s="8" t="s">
        <v>121</v>
      </c>
      <c r="AS10" s="8" t="s">
        <v>122</v>
      </c>
      <c r="AT10" s="9" t="s">
        <v>123</v>
      </c>
      <c r="AU10" s="9" t="s">
        <v>124</v>
      </c>
      <c r="AV10" s="9" t="s">
        <v>125</v>
      </c>
      <c r="AW10" s="9" t="s">
        <v>126</v>
      </c>
      <c r="AX10" s="9" t="s">
        <v>127</v>
      </c>
      <c r="AY10" s="10" t="s">
        <v>128</v>
      </c>
      <c r="AZ10" s="11" t="s">
        <v>129</v>
      </c>
      <c r="BA10" s="11" t="s">
        <v>130</v>
      </c>
      <c r="BB10" s="11" t="s">
        <v>131</v>
      </c>
      <c r="BC10" s="11" t="s">
        <v>132</v>
      </c>
      <c r="BD10" s="11" t="s">
        <v>133</v>
      </c>
      <c r="BE10" s="12" t="s">
        <v>134</v>
      </c>
      <c r="BF10" s="9" t="s">
        <v>135</v>
      </c>
      <c r="BG10" s="9" t="s">
        <v>136</v>
      </c>
      <c r="BH10" s="9" t="s">
        <v>137</v>
      </c>
      <c r="BI10" s="9" t="s">
        <v>138</v>
      </c>
      <c r="BJ10" s="9" t="s">
        <v>139</v>
      </c>
      <c r="BK10" s="9" t="s">
        <v>140</v>
      </c>
      <c r="BL10" s="9" t="s">
        <v>141</v>
      </c>
      <c r="BM10" s="12"/>
      <c r="BN10" s="12"/>
      <c r="BO10" s="37"/>
    </row>
    <row r="11" spans="1:67" ht="15" x14ac:dyDescent="0.25">
      <c r="A11" s="32"/>
      <c r="B11" s="6" t="s">
        <v>142</v>
      </c>
      <c r="C11" s="13" t="s">
        <v>143</v>
      </c>
      <c r="D11" s="11" t="s">
        <v>144</v>
      </c>
      <c r="E11" s="14" t="s">
        <v>145</v>
      </c>
      <c r="F11" s="7" t="s">
        <v>146</v>
      </c>
      <c r="G11" s="7" t="s">
        <v>147</v>
      </c>
      <c r="H11" s="7" t="s">
        <v>148</v>
      </c>
      <c r="I11" s="7" t="s">
        <v>149</v>
      </c>
      <c r="J11" s="7" t="s">
        <v>150</v>
      </c>
      <c r="K11" s="7" t="s">
        <v>151</v>
      </c>
      <c r="L11" s="7" t="s">
        <v>152</v>
      </c>
      <c r="M11" s="7" t="s">
        <v>153</v>
      </c>
      <c r="N11" s="7" t="s">
        <v>154</v>
      </c>
      <c r="O11" s="7" t="s">
        <v>155</v>
      </c>
      <c r="P11" s="7" t="s">
        <v>156</v>
      </c>
      <c r="Q11" s="7" t="s">
        <v>157</v>
      </c>
      <c r="R11" s="7" t="s">
        <v>158</v>
      </c>
      <c r="S11" s="7" t="s">
        <v>159</v>
      </c>
      <c r="T11" s="7" t="s">
        <v>160</v>
      </c>
      <c r="U11" s="15" t="s">
        <v>161</v>
      </c>
      <c r="V11" s="15" t="s">
        <v>162</v>
      </c>
      <c r="W11" s="7" t="s">
        <v>163</v>
      </c>
      <c r="X11" s="7" t="s">
        <v>164</v>
      </c>
      <c r="Y11" s="7" t="s">
        <v>165</v>
      </c>
      <c r="Z11" s="7" t="s">
        <v>166</v>
      </c>
      <c r="AA11" s="7" t="s">
        <v>167</v>
      </c>
      <c r="AB11" s="7" t="s">
        <v>168</v>
      </c>
      <c r="AC11" s="7" t="s">
        <v>169</v>
      </c>
      <c r="AD11" s="7" t="s">
        <v>170</v>
      </c>
      <c r="AE11" s="7" t="s">
        <v>171</v>
      </c>
      <c r="AF11" s="7" t="s">
        <v>172</v>
      </c>
      <c r="AG11" s="7" t="s">
        <v>173</v>
      </c>
      <c r="AH11" s="7" t="s">
        <v>174</v>
      </c>
      <c r="AI11" s="7" t="s">
        <v>175</v>
      </c>
      <c r="AJ11" s="7" t="s">
        <v>176</v>
      </c>
      <c r="AK11" s="16" t="s">
        <v>177</v>
      </c>
      <c r="AL11" s="16" t="s">
        <v>178</v>
      </c>
      <c r="AM11" s="16" t="s">
        <v>179</v>
      </c>
      <c r="AN11" s="16" t="s">
        <v>180</v>
      </c>
      <c r="AO11" s="16" t="s">
        <v>181</v>
      </c>
      <c r="AP11" s="16" t="s">
        <v>182</v>
      </c>
      <c r="AQ11" s="17" t="s">
        <v>183</v>
      </c>
      <c r="AR11" s="17" t="s">
        <v>184</v>
      </c>
      <c r="AS11" s="17" t="s">
        <v>185</v>
      </c>
      <c r="AT11" s="17" t="s">
        <v>186</v>
      </c>
      <c r="AU11" s="17" t="s">
        <v>187</v>
      </c>
      <c r="AV11" s="17" t="s">
        <v>188</v>
      </c>
      <c r="AW11" s="17" t="s">
        <v>189</v>
      </c>
      <c r="AX11" s="17" t="s">
        <v>190</v>
      </c>
      <c r="AY11" s="16" t="s">
        <v>191</v>
      </c>
      <c r="AZ11" s="16" t="s">
        <v>192</v>
      </c>
      <c r="BA11" s="16" t="s">
        <v>193</v>
      </c>
      <c r="BB11" s="16" t="s">
        <v>194</v>
      </c>
      <c r="BC11" s="16" t="s">
        <v>195</v>
      </c>
      <c r="BD11" s="16" t="s">
        <v>196</v>
      </c>
      <c r="BE11" s="16" t="s">
        <v>197</v>
      </c>
      <c r="BF11" s="16" t="s">
        <v>198</v>
      </c>
      <c r="BG11" s="16" t="s">
        <v>199</v>
      </c>
      <c r="BH11" s="16" t="s">
        <v>200</v>
      </c>
      <c r="BI11" s="16" t="s">
        <v>201</v>
      </c>
      <c r="BJ11" s="16" t="s">
        <v>202</v>
      </c>
      <c r="BK11" s="16" t="s">
        <v>203</v>
      </c>
      <c r="BL11" s="16" t="s">
        <v>204</v>
      </c>
      <c r="BM11" s="16"/>
      <c r="BN11" s="18"/>
      <c r="BO11" s="38"/>
    </row>
    <row r="12" spans="1:67" ht="15.75" x14ac:dyDescent="0.2">
      <c r="A12" s="23">
        <f>DATE(N6,K6,1)</f>
        <v>46054</v>
      </c>
      <c r="B12" s="24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20"/>
      <c r="BJ12" s="20"/>
      <c r="BK12" s="20"/>
      <c r="BL12" s="20"/>
      <c r="BM12" s="20"/>
      <c r="BN12" s="20"/>
      <c r="BO12" s="19"/>
    </row>
    <row r="13" spans="1:67" ht="15.75" x14ac:dyDescent="0.2">
      <c r="A13" s="23">
        <f>A12+1</f>
        <v>46055</v>
      </c>
      <c r="B13" s="24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</row>
    <row r="14" spans="1:67" ht="15.75" x14ac:dyDescent="0.2">
      <c r="A14" s="23">
        <f t="shared" ref="A14:A39" si="0">A13+1</f>
        <v>46056</v>
      </c>
      <c r="B14" s="24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</row>
    <row r="15" spans="1:67" ht="15.75" x14ac:dyDescent="0.2">
      <c r="A15" s="23">
        <f t="shared" si="0"/>
        <v>46057</v>
      </c>
      <c r="B15" s="24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</row>
    <row r="16" spans="1:67" ht="15.75" x14ac:dyDescent="0.2">
      <c r="A16" s="23">
        <f t="shared" si="0"/>
        <v>46058</v>
      </c>
      <c r="B16" s="24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</row>
    <row r="17" spans="1:67" ht="15.75" x14ac:dyDescent="0.2">
      <c r="A17" s="23">
        <f t="shared" si="0"/>
        <v>46059</v>
      </c>
      <c r="B17" s="24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</row>
    <row r="18" spans="1:67" ht="15.75" x14ac:dyDescent="0.2">
      <c r="A18" s="23">
        <f t="shared" si="0"/>
        <v>46060</v>
      </c>
      <c r="B18" s="24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</row>
    <row r="19" spans="1:67" ht="15.75" x14ac:dyDescent="0.2">
      <c r="A19" s="23">
        <f t="shared" si="0"/>
        <v>46061</v>
      </c>
      <c r="B19" s="24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</row>
    <row r="20" spans="1:67" ht="15.75" x14ac:dyDescent="0.2">
      <c r="A20" s="23">
        <f t="shared" si="0"/>
        <v>46062</v>
      </c>
      <c r="B20" s="24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</row>
    <row r="21" spans="1:67" ht="15.75" x14ac:dyDescent="0.2">
      <c r="A21" s="23">
        <f t="shared" si="0"/>
        <v>46063</v>
      </c>
      <c r="B21" s="24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  <c r="BO21" s="19"/>
    </row>
    <row r="22" spans="1:67" ht="15.75" x14ac:dyDescent="0.2">
      <c r="A22" s="23">
        <f t="shared" si="0"/>
        <v>46064</v>
      </c>
      <c r="B22" s="24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</row>
    <row r="23" spans="1:67" ht="15.75" x14ac:dyDescent="0.2">
      <c r="A23" s="23">
        <f t="shared" si="0"/>
        <v>46065</v>
      </c>
      <c r="B23" s="24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</row>
    <row r="24" spans="1:67" ht="15.75" x14ac:dyDescent="0.2">
      <c r="A24" s="23">
        <f t="shared" si="0"/>
        <v>46066</v>
      </c>
      <c r="B24" s="24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</row>
    <row r="25" spans="1:67" ht="15.75" x14ac:dyDescent="0.2">
      <c r="A25" s="23">
        <f t="shared" si="0"/>
        <v>46067</v>
      </c>
      <c r="B25" s="24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/>
      <c r="BO25" s="19"/>
    </row>
    <row r="26" spans="1:67" ht="15.75" x14ac:dyDescent="0.2">
      <c r="A26" s="23">
        <f t="shared" si="0"/>
        <v>46068</v>
      </c>
      <c r="B26" s="24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</row>
    <row r="27" spans="1:67" ht="15.75" x14ac:dyDescent="0.2">
      <c r="A27" s="23">
        <f t="shared" si="0"/>
        <v>46069</v>
      </c>
      <c r="B27" s="24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</row>
    <row r="28" spans="1:67" ht="15.75" x14ac:dyDescent="0.2">
      <c r="A28" s="23">
        <f t="shared" si="0"/>
        <v>46070</v>
      </c>
      <c r="B28" s="24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</row>
    <row r="29" spans="1:67" ht="15.75" x14ac:dyDescent="0.2">
      <c r="A29" s="23">
        <f t="shared" si="0"/>
        <v>46071</v>
      </c>
      <c r="B29" s="24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</row>
    <row r="30" spans="1:67" ht="15.75" x14ac:dyDescent="0.2">
      <c r="A30" s="23">
        <f t="shared" si="0"/>
        <v>46072</v>
      </c>
      <c r="B30" s="24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</row>
    <row r="31" spans="1:67" ht="15.75" x14ac:dyDescent="0.2">
      <c r="A31" s="23">
        <f t="shared" si="0"/>
        <v>46073</v>
      </c>
      <c r="B31" s="24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</row>
    <row r="32" spans="1:67" ht="15.75" x14ac:dyDescent="0.2">
      <c r="A32" s="23">
        <f t="shared" si="0"/>
        <v>46074</v>
      </c>
      <c r="B32" s="24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</row>
    <row r="33" spans="1:67" ht="15.75" x14ac:dyDescent="0.2">
      <c r="A33" s="23">
        <f t="shared" si="0"/>
        <v>46075</v>
      </c>
      <c r="B33" s="24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19"/>
      <c r="BN33" s="19"/>
      <c r="BO33" s="19"/>
    </row>
    <row r="34" spans="1:67" ht="15.75" x14ac:dyDescent="0.2">
      <c r="A34" s="23">
        <f>A33+1</f>
        <v>46076</v>
      </c>
      <c r="B34" s="24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/>
      <c r="BG34" s="19"/>
      <c r="BH34" s="19"/>
      <c r="BI34" s="19"/>
      <c r="BJ34" s="19"/>
      <c r="BK34" s="19"/>
      <c r="BL34" s="19"/>
      <c r="BM34" s="19"/>
      <c r="BN34" s="19"/>
      <c r="BO34" s="19"/>
    </row>
    <row r="35" spans="1:67" ht="15.75" x14ac:dyDescent="0.2">
      <c r="A35" s="23">
        <f t="shared" si="0"/>
        <v>46077</v>
      </c>
      <c r="B35" s="24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/>
      <c r="BG35" s="19"/>
      <c r="BH35" s="19"/>
      <c r="BI35" s="19"/>
      <c r="BJ35" s="19"/>
      <c r="BK35" s="19"/>
      <c r="BL35" s="19"/>
      <c r="BM35" s="19"/>
      <c r="BN35" s="19"/>
      <c r="BO35" s="19"/>
    </row>
    <row r="36" spans="1:67" ht="15.75" x14ac:dyDescent="0.2">
      <c r="A36" s="23">
        <f t="shared" si="0"/>
        <v>46078</v>
      </c>
      <c r="B36" s="24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19"/>
      <c r="BJ36" s="19"/>
      <c r="BK36" s="19"/>
      <c r="BL36" s="19"/>
      <c r="BM36" s="19"/>
      <c r="BN36" s="19"/>
      <c r="BO36" s="19"/>
    </row>
    <row r="37" spans="1:67" ht="15.75" x14ac:dyDescent="0.2">
      <c r="A37" s="23">
        <f t="shared" si="0"/>
        <v>46079</v>
      </c>
      <c r="B37" s="24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19"/>
      <c r="BJ37" s="19"/>
      <c r="BK37" s="19"/>
      <c r="BL37" s="19"/>
      <c r="BM37" s="19"/>
      <c r="BN37" s="19"/>
      <c r="BO37" s="19"/>
    </row>
    <row r="38" spans="1:67" ht="15.75" x14ac:dyDescent="0.2">
      <c r="A38" s="23">
        <f t="shared" si="0"/>
        <v>46080</v>
      </c>
      <c r="B38" s="24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/>
      <c r="BG38" s="19"/>
      <c r="BH38" s="19"/>
      <c r="BI38" s="19"/>
      <c r="BJ38" s="19"/>
      <c r="BK38" s="19"/>
      <c r="BL38" s="19"/>
      <c r="BM38" s="19"/>
      <c r="BN38" s="19"/>
      <c r="BO38" s="19"/>
    </row>
    <row r="39" spans="1:67" ht="15.75" x14ac:dyDescent="0.2">
      <c r="A39" s="23">
        <f t="shared" si="0"/>
        <v>46081</v>
      </c>
      <c r="B39" s="24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/>
      <c r="BG39" s="19"/>
      <c r="BH39" s="19"/>
      <c r="BI39" s="19"/>
      <c r="BJ39" s="19"/>
      <c r="BK39" s="19"/>
      <c r="BL39" s="19"/>
      <c r="BM39" s="19"/>
      <c r="BN39" s="19"/>
      <c r="BO39" s="19"/>
    </row>
    <row r="40" spans="1:67" ht="15.75" x14ac:dyDescent="0.2">
      <c r="A40" s="23" t="str">
        <f>IF(A39="","",IF(A39=EOMONTH(DATE($N$6,$K$6,1),0),"",A39+1))</f>
        <v/>
      </c>
      <c r="B40" s="24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/>
      <c r="BG40" s="19"/>
      <c r="BH40" s="19"/>
      <c r="BI40" s="19"/>
      <c r="BJ40" s="19"/>
      <c r="BK40" s="19"/>
      <c r="BL40" s="19"/>
      <c r="BM40" s="19"/>
      <c r="BN40" s="19"/>
      <c r="BO40" s="19"/>
    </row>
    <row r="41" spans="1:67" ht="15.75" x14ac:dyDescent="0.2">
      <c r="A41" s="23" t="str">
        <f>IF(A40="","",IF(A40=EOMONTH(DATE($N$6,$K$6,1),0),"",A40+1))</f>
        <v/>
      </c>
      <c r="B41" s="24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/>
      <c r="BG41" s="19"/>
      <c r="BH41" s="19"/>
      <c r="BI41" s="19"/>
      <c r="BJ41" s="19"/>
      <c r="BK41" s="19"/>
      <c r="BL41" s="19"/>
      <c r="BM41" s="19"/>
      <c r="BN41" s="19"/>
      <c r="BO41" s="19"/>
    </row>
    <row r="42" spans="1:67" ht="15.75" x14ac:dyDescent="0.2">
      <c r="A42" s="23" t="str">
        <f>IF(A41="","",IF(A41=EOMONTH(DATE($N$6,$K$6,1),0),"",A41+1))</f>
        <v/>
      </c>
      <c r="B42" s="24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/>
      <c r="BG42" s="19"/>
      <c r="BH42" s="19"/>
      <c r="BI42" s="19"/>
      <c r="BJ42" s="19"/>
      <c r="BK42" s="19"/>
      <c r="BL42" s="19"/>
      <c r="BM42" s="19"/>
      <c r="BN42" s="19"/>
      <c r="BO42" s="19"/>
    </row>
    <row r="43" spans="1:67" ht="13.5" x14ac:dyDescent="0.25">
      <c r="A43" s="21" t="s">
        <v>205</v>
      </c>
      <c r="B43" s="25" t="s">
        <v>206</v>
      </c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</row>
    <row r="44" spans="1:67" x14ac:dyDescent="0.2">
      <c r="A44" s="22"/>
      <c r="B44" s="22" t="s">
        <v>207</v>
      </c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 t="s">
        <v>208</v>
      </c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</row>
  </sheetData>
  <mergeCells count="45">
    <mergeCell ref="A1:A3"/>
    <mergeCell ref="B1:M3"/>
    <mergeCell ref="N1:BO1"/>
    <mergeCell ref="N2:P2"/>
    <mergeCell ref="Q2:BN2"/>
    <mergeCell ref="N3:P3"/>
    <mergeCell ref="Q3:BN3"/>
    <mergeCell ref="A4:BO4"/>
    <mergeCell ref="A5:BO5"/>
    <mergeCell ref="N6:O6"/>
    <mergeCell ref="A8:A11"/>
    <mergeCell ref="B8:P8"/>
    <mergeCell ref="BO8:BO11"/>
    <mergeCell ref="A23:B23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35:B35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42:B42"/>
    <mergeCell ref="B43:N43"/>
    <mergeCell ref="A36:B36"/>
    <mergeCell ref="A37:B37"/>
    <mergeCell ref="A38:B38"/>
    <mergeCell ref="A39:B39"/>
    <mergeCell ref="A40:B40"/>
    <mergeCell ref="A41:B41"/>
  </mergeCells>
  <conditionalFormatting sqref="AR10">
    <cfRule type="duplicateValues" dxfId="21" priority="2"/>
  </conditionalFormatting>
  <conditionalFormatting sqref="AS10">
    <cfRule type="duplicateValues" dxfId="20" priority="1"/>
  </conditionalFormatting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2291" r:id="rId3" name="Spinner 3">
              <controlPr defaultSize="0" autoPict="0">
                <anchor moveWithCells="1" sizeWithCells="1">
                  <from>
                    <xdr:col>11</xdr:col>
                    <xdr:colOff>19050</xdr:colOff>
                    <xdr:row>4</xdr:row>
                    <xdr:rowOff>123825</xdr:rowOff>
                  </from>
                  <to>
                    <xdr:col>11</xdr:col>
                    <xdr:colOff>342900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2" r:id="rId4" name="Spinner 4">
              <controlPr defaultSize="0" autoPict="0">
                <anchor moveWithCells="1" sizeWithCells="1">
                  <from>
                    <xdr:col>15</xdr:col>
                    <xdr:colOff>0</xdr:colOff>
                    <xdr:row>4</xdr:row>
                    <xdr:rowOff>123825</xdr:rowOff>
                  </from>
                  <to>
                    <xdr:col>15</xdr:col>
                    <xdr:colOff>323850</xdr:colOff>
                    <xdr:row>6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O44"/>
  <sheetViews>
    <sheetView zoomScale="70" zoomScaleNormal="70" workbookViewId="0">
      <selection activeCell="I35" sqref="I35"/>
    </sheetView>
  </sheetViews>
  <sheetFormatPr defaultRowHeight="12.75" x14ac:dyDescent="0.2"/>
  <cols>
    <col min="1" max="2" width="23.5" bestFit="1" customWidth="1"/>
    <col min="3" max="3" width="31.6640625" bestFit="1" customWidth="1"/>
    <col min="4" max="4" width="47" bestFit="1" customWidth="1"/>
    <col min="5" max="5" width="40.6640625" bestFit="1" customWidth="1"/>
    <col min="6" max="6" width="32.83203125" bestFit="1" customWidth="1"/>
    <col min="7" max="7" width="32" bestFit="1" customWidth="1"/>
    <col min="8" max="13" width="32.5" bestFit="1" customWidth="1"/>
    <col min="14" max="14" width="34.5" bestFit="1" customWidth="1"/>
    <col min="15" max="15" width="34.1640625" bestFit="1" customWidth="1"/>
    <col min="16" max="16" width="33.6640625" bestFit="1" customWidth="1"/>
    <col min="17" max="17" width="25.6640625" bestFit="1" customWidth="1"/>
    <col min="18" max="19" width="25" bestFit="1" customWidth="1"/>
    <col min="20" max="20" width="35.1640625" bestFit="1" customWidth="1"/>
    <col min="21" max="22" width="37.5" bestFit="1" customWidth="1"/>
    <col min="23" max="23" width="42.5" bestFit="1" customWidth="1"/>
    <col min="24" max="25" width="41.83203125" bestFit="1" customWidth="1"/>
    <col min="26" max="26" width="39.6640625" bestFit="1" customWidth="1"/>
    <col min="27" max="27" width="39" bestFit="1" customWidth="1"/>
    <col min="28" max="34" width="40.1640625" bestFit="1" customWidth="1"/>
    <col min="35" max="35" width="39.6640625" bestFit="1" customWidth="1"/>
    <col min="36" max="36" width="28.5" bestFit="1" customWidth="1"/>
    <col min="37" max="38" width="47.83203125" bestFit="1" customWidth="1"/>
    <col min="39" max="39" width="49" bestFit="1" customWidth="1"/>
    <col min="40" max="40" width="49.5" bestFit="1" customWidth="1"/>
    <col min="41" max="41" width="46.33203125" bestFit="1" customWidth="1"/>
    <col min="42" max="42" width="46.6640625" bestFit="1" customWidth="1"/>
    <col min="43" max="43" width="34" bestFit="1" customWidth="1"/>
    <col min="44" max="45" width="26.6640625" bestFit="1" customWidth="1"/>
    <col min="46" max="47" width="30.33203125" bestFit="1" customWidth="1"/>
    <col min="48" max="48" width="35.83203125" bestFit="1" customWidth="1"/>
    <col min="49" max="49" width="37" bestFit="1" customWidth="1"/>
    <col min="50" max="50" width="33.33203125" bestFit="1" customWidth="1"/>
    <col min="51" max="51" width="34.1640625" bestFit="1" customWidth="1"/>
    <col min="52" max="52" width="33.5" bestFit="1" customWidth="1"/>
    <col min="53" max="54" width="36.6640625" bestFit="1" customWidth="1"/>
    <col min="55" max="56" width="43.33203125" bestFit="1" customWidth="1"/>
    <col min="57" max="57" width="41.6640625" bestFit="1" customWidth="1"/>
    <col min="58" max="58" width="44.1640625" bestFit="1" customWidth="1"/>
    <col min="59" max="59" width="32" bestFit="1" customWidth="1"/>
    <col min="60" max="60" width="39.1640625" bestFit="1" customWidth="1"/>
    <col min="61" max="61" width="35.6640625" bestFit="1" customWidth="1"/>
    <col min="62" max="62" width="30.6640625" bestFit="1" customWidth="1"/>
    <col min="63" max="63" width="44" bestFit="1" customWidth="1"/>
    <col min="64" max="64" width="39" bestFit="1" customWidth="1"/>
    <col min="65" max="66" width="6.83203125" bestFit="1" customWidth="1"/>
    <col min="67" max="67" width="14.6640625" bestFit="1" customWidth="1"/>
  </cols>
  <sheetData>
    <row r="1" spans="1:67" x14ac:dyDescent="0.2">
      <c r="A1" s="39" t="s">
        <v>0</v>
      </c>
      <c r="B1" s="40" t="s">
        <v>1</v>
      </c>
      <c r="C1" s="41"/>
      <c r="D1" s="41"/>
      <c r="E1" s="41"/>
      <c r="F1" s="41"/>
      <c r="G1" s="41"/>
      <c r="H1" s="41"/>
      <c r="I1" s="41"/>
      <c r="J1" s="41"/>
      <c r="K1" s="41"/>
      <c r="L1" s="41"/>
      <c r="M1" s="42"/>
      <c r="N1" s="49" t="s">
        <v>2</v>
      </c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  <c r="AJ1" s="50"/>
      <c r="AK1" s="50"/>
      <c r="AL1" s="50"/>
      <c r="AM1" s="50"/>
      <c r="AN1" s="50"/>
      <c r="AO1" s="50"/>
      <c r="AP1" s="50"/>
      <c r="AQ1" s="50"/>
      <c r="AR1" s="50"/>
      <c r="AS1" s="50"/>
      <c r="AT1" s="50"/>
      <c r="AU1" s="50"/>
      <c r="AV1" s="50"/>
      <c r="AW1" s="50"/>
      <c r="AX1" s="50"/>
      <c r="AY1" s="50"/>
      <c r="AZ1" s="50"/>
      <c r="BA1" s="50"/>
      <c r="BB1" s="50"/>
      <c r="BC1" s="50"/>
      <c r="BD1" s="50"/>
      <c r="BE1" s="50"/>
      <c r="BF1" s="50"/>
      <c r="BG1" s="50"/>
      <c r="BH1" s="50"/>
      <c r="BI1" s="50"/>
      <c r="BJ1" s="50"/>
      <c r="BK1" s="50"/>
      <c r="BL1" s="50"/>
      <c r="BM1" s="50"/>
      <c r="BN1" s="50"/>
      <c r="BO1" s="51"/>
    </row>
    <row r="2" spans="1:67" x14ac:dyDescent="0.2">
      <c r="A2" s="39"/>
      <c r="B2" s="43"/>
      <c r="C2" s="44"/>
      <c r="D2" s="44"/>
      <c r="E2" s="44"/>
      <c r="F2" s="44"/>
      <c r="G2" s="44"/>
      <c r="H2" s="44"/>
      <c r="I2" s="44"/>
      <c r="J2" s="44"/>
      <c r="K2" s="44"/>
      <c r="L2" s="44"/>
      <c r="M2" s="45"/>
      <c r="N2" s="49" t="s">
        <v>3</v>
      </c>
      <c r="O2" s="50"/>
      <c r="P2" s="51"/>
      <c r="Q2" s="49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50"/>
      <c r="AO2" s="50"/>
      <c r="AP2" s="50"/>
      <c r="AQ2" s="50"/>
      <c r="AR2" s="50"/>
      <c r="AS2" s="50"/>
      <c r="AT2" s="50"/>
      <c r="AU2" s="50"/>
      <c r="AV2" s="50"/>
      <c r="AW2" s="50"/>
      <c r="AX2" s="50"/>
      <c r="AY2" s="50"/>
      <c r="AZ2" s="50"/>
      <c r="BA2" s="50"/>
      <c r="BB2" s="50"/>
      <c r="BC2" s="50"/>
      <c r="BD2" s="50"/>
      <c r="BE2" s="50"/>
      <c r="BF2" s="50"/>
      <c r="BG2" s="50"/>
      <c r="BH2" s="50"/>
      <c r="BI2" s="50"/>
      <c r="BJ2" s="50"/>
      <c r="BK2" s="50"/>
      <c r="BL2" s="50"/>
      <c r="BM2" s="50"/>
      <c r="BN2" s="51"/>
      <c r="BO2" s="1" t="s">
        <v>4</v>
      </c>
    </row>
    <row r="3" spans="1:67" x14ac:dyDescent="0.2">
      <c r="A3" s="39"/>
      <c r="B3" s="46"/>
      <c r="C3" s="47"/>
      <c r="D3" s="47"/>
      <c r="E3" s="47"/>
      <c r="F3" s="47"/>
      <c r="G3" s="47"/>
      <c r="H3" s="47"/>
      <c r="I3" s="47"/>
      <c r="J3" s="47"/>
      <c r="K3" s="47"/>
      <c r="L3" s="47"/>
      <c r="M3" s="48"/>
      <c r="N3" s="49" t="s">
        <v>5</v>
      </c>
      <c r="O3" s="50"/>
      <c r="P3" s="51"/>
      <c r="Q3" s="49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/>
      <c r="AS3" s="50"/>
      <c r="AT3" s="50"/>
      <c r="AU3" s="50"/>
      <c r="AV3" s="50"/>
      <c r="AW3" s="50"/>
      <c r="AX3" s="50"/>
      <c r="AY3" s="50"/>
      <c r="AZ3" s="50"/>
      <c r="BA3" s="50"/>
      <c r="BB3" s="50"/>
      <c r="BC3" s="50"/>
      <c r="BD3" s="50"/>
      <c r="BE3" s="50"/>
      <c r="BF3" s="50"/>
      <c r="BG3" s="50"/>
      <c r="BH3" s="50"/>
      <c r="BI3" s="50"/>
      <c r="BJ3" s="50"/>
      <c r="BK3" s="50"/>
      <c r="BL3" s="50"/>
      <c r="BM3" s="50"/>
      <c r="BN3" s="51"/>
      <c r="BO3" s="1" t="s">
        <v>6</v>
      </c>
    </row>
    <row r="4" spans="1:67" x14ac:dyDescent="0.2">
      <c r="A4" s="26" t="s">
        <v>7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8"/>
    </row>
    <row r="5" spans="1:67" ht="18.75" x14ac:dyDescent="0.2">
      <c r="A5" s="29"/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</row>
    <row r="6" spans="1:67" ht="15.75" x14ac:dyDescent="0.25">
      <c r="A6" s="2" t="s">
        <v>8</v>
      </c>
      <c r="B6" s="3"/>
      <c r="C6" s="3"/>
      <c r="D6" s="3"/>
      <c r="E6" s="3"/>
      <c r="F6" s="3"/>
      <c r="G6" s="3"/>
      <c r="H6" s="3"/>
      <c r="I6" s="3"/>
      <c r="J6" s="3" t="s">
        <v>9</v>
      </c>
      <c r="K6" s="3">
        <v>3</v>
      </c>
      <c r="L6" s="3"/>
      <c r="M6" s="3" t="s">
        <v>10</v>
      </c>
      <c r="N6" s="30">
        <v>2026</v>
      </c>
      <c r="O6" s="30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</row>
    <row r="7" spans="1:67" ht="15.7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</row>
    <row r="8" spans="1:67" ht="15.75" x14ac:dyDescent="0.25">
      <c r="A8" s="31" t="s">
        <v>11</v>
      </c>
      <c r="B8" s="33" t="s">
        <v>12</v>
      </c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5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36" t="s">
        <v>13</v>
      </c>
    </row>
    <row r="9" spans="1:67" x14ac:dyDescent="0.2">
      <c r="A9" s="31"/>
      <c r="B9" s="5" t="s">
        <v>14</v>
      </c>
      <c r="C9" s="5" t="s">
        <v>15</v>
      </c>
      <c r="D9" s="5" t="s">
        <v>16</v>
      </c>
      <c r="E9" s="5" t="s">
        <v>17</v>
      </c>
      <c r="F9" s="5" t="s">
        <v>18</v>
      </c>
      <c r="G9" s="5" t="s">
        <v>19</v>
      </c>
      <c r="H9" s="5" t="s">
        <v>20</v>
      </c>
      <c r="I9" s="5" t="s">
        <v>21</v>
      </c>
      <c r="J9" s="5" t="s">
        <v>22</v>
      </c>
      <c r="K9" s="5" t="s">
        <v>23</v>
      </c>
      <c r="L9" s="5" t="s">
        <v>24</v>
      </c>
      <c r="M9" s="5" t="s">
        <v>25</v>
      </c>
      <c r="N9" s="5" t="s">
        <v>26</v>
      </c>
      <c r="O9" s="5" t="s">
        <v>27</v>
      </c>
      <c r="P9" s="5" t="s">
        <v>28</v>
      </c>
      <c r="Q9" s="5" t="s">
        <v>29</v>
      </c>
      <c r="R9" s="5" t="s">
        <v>30</v>
      </c>
      <c r="S9" s="5" t="s">
        <v>31</v>
      </c>
      <c r="T9" s="5" t="s">
        <v>32</v>
      </c>
      <c r="U9" s="5" t="s">
        <v>33</v>
      </c>
      <c r="V9" s="5" t="s">
        <v>34</v>
      </c>
      <c r="W9" s="5" t="s">
        <v>35</v>
      </c>
      <c r="X9" s="5" t="s">
        <v>36</v>
      </c>
      <c r="Y9" s="5" t="s">
        <v>37</v>
      </c>
      <c r="Z9" s="5" t="s">
        <v>38</v>
      </c>
      <c r="AA9" s="5" t="s">
        <v>39</v>
      </c>
      <c r="AB9" s="5" t="s">
        <v>40</v>
      </c>
      <c r="AC9" s="5" t="s">
        <v>41</v>
      </c>
      <c r="AD9" s="5" t="s">
        <v>42</v>
      </c>
      <c r="AE9" s="5" t="s">
        <v>43</v>
      </c>
      <c r="AF9" s="5" t="s">
        <v>44</v>
      </c>
      <c r="AG9" s="5" t="s">
        <v>45</v>
      </c>
      <c r="AH9" s="5" t="s">
        <v>46</v>
      </c>
      <c r="AI9" s="5" t="s">
        <v>47</v>
      </c>
      <c r="AJ9" s="5" t="s">
        <v>48</v>
      </c>
      <c r="AK9" s="5" t="s">
        <v>49</v>
      </c>
      <c r="AL9" s="5" t="s">
        <v>50</v>
      </c>
      <c r="AM9" s="5" t="s">
        <v>51</v>
      </c>
      <c r="AN9" s="5" t="s">
        <v>52</v>
      </c>
      <c r="AO9" s="5" t="s">
        <v>53</v>
      </c>
      <c r="AP9" s="5" t="s">
        <v>54</v>
      </c>
      <c r="AQ9" s="5" t="s">
        <v>55</v>
      </c>
      <c r="AR9" s="5" t="s">
        <v>56</v>
      </c>
      <c r="AS9" s="5" t="s">
        <v>57</v>
      </c>
      <c r="AT9" s="5" t="s">
        <v>58</v>
      </c>
      <c r="AU9" s="5" t="s">
        <v>59</v>
      </c>
      <c r="AV9" s="5" t="s">
        <v>60</v>
      </c>
      <c r="AW9" s="5" t="s">
        <v>61</v>
      </c>
      <c r="AX9" s="5" t="s">
        <v>62</v>
      </c>
      <c r="AY9" s="5" t="s">
        <v>63</v>
      </c>
      <c r="AZ9" s="5" t="s">
        <v>64</v>
      </c>
      <c r="BA9" s="5" t="s">
        <v>65</v>
      </c>
      <c r="BB9" s="5" t="s">
        <v>66</v>
      </c>
      <c r="BC9" s="5" t="s">
        <v>67</v>
      </c>
      <c r="BD9" s="5" t="s">
        <v>68</v>
      </c>
      <c r="BE9" s="5" t="s">
        <v>69</v>
      </c>
      <c r="BF9" s="5" t="s">
        <v>70</v>
      </c>
      <c r="BG9" s="5" t="s">
        <v>71</v>
      </c>
      <c r="BH9" s="5" t="s">
        <v>72</v>
      </c>
      <c r="BI9" s="5" t="s">
        <v>73</v>
      </c>
      <c r="BJ9" s="5" t="s">
        <v>74</v>
      </c>
      <c r="BK9" s="5" t="s">
        <v>75</v>
      </c>
      <c r="BL9" s="5" t="s">
        <v>76</v>
      </c>
      <c r="BM9" s="5" t="s">
        <v>77</v>
      </c>
      <c r="BN9" s="5" t="s">
        <v>78</v>
      </c>
      <c r="BO9" s="37"/>
    </row>
    <row r="10" spans="1:67" ht="30" x14ac:dyDescent="0.25">
      <c r="A10" s="31"/>
      <c r="B10" s="6" t="s">
        <v>79</v>
      </c>
      <c r="C10" s="7" t="s">
        <v>80</v>
      </c>
      <c r="D10" s="8" t="s">
        <v>81</v>
      </c>
      <c r="E10" s="7" t="s">
        <v>82</v>
      </c>
      <c r="F10" s="7" t="s">
        <v>83</v>
      </c>
      <c r="G10" s="7" t="s">
        <v>84</v>
      </c>
      <c r="H10" s="7" t="s">
        <v>85</v>
      </c>
      <c r="I10" s="7" t="s">
        <v>86</v>
      </c>
      <c r="J10" s="7" t="s">
        <v>87</v>
      </c>
      <c r="K10" s="7" t="s">
        <v>88</v>
      </c>
      <c r="L10" s="7" t="s">
        <v>89</v>
      </c>
      <c r="M10" s="7" t="s">
        <v>90</v>
      </c>
      <c r="N10" s="7" t="s">
        <v>91</v>
      </c>
      <c r="O10" s="7" t="s">
        <v>92</v>
      </c>
      <c r="P10" s="7" t="s">
        <v>93</v>
      </c>
      <c r="Q10" s="7" t="s">
        <v>94</v>
      </c>
      <c r="R10" s="7" t="s">
        <v>95</v>
      </c>
      <c r="S10" s="7" t="s">
        <v>96</v>
      </c>
      <c r="T10" s="7" t="s">
        <v>97</v>
      </c>
      <c r="U10" s="8" t="s">
        <v>98</v>
      </c>
      <c r="V10" s="8" t="s">
        <v>99</v>
      </c>
      <c r="W10" s="7" t="s">
        <v>100</v>
      </c>
      <c r="X10" s="7" t="s">
        <v>101</v>
      </c>
      <c r="Y10" s="7" t="s">
        <v>102</v>
      </c>
      <c r="Z10" s="7" t="s">
        <v>103</v>
      </c>
      <c r="AA10" s="7" t="s">
        <v>104</v>
      </c>
      <c r="AB10" s="7" t="s">
        <v>105</v>
      </c>
      <c r="AC10" s="7" t="s">
        <v>106</v>
      </c>
      <c r="AD10" s="7" t="s">
        <v>107</v>
      </c>
      <c r="AE10" s="7" t="s">
        <v>108</v>
      </c>
      <c r="AF10" s="7" t="s">
        <v>109</v>
      </c>
      <c r="AG10" s="7" t="s">
        <v>110</v>
      </c>
      <c r="AH10" s="7" t="s">
        <v>111</v>
      </c>
      <c r="AI10" s="7" t="s">
        <v>112</v>
      </c>
      <c r="AJ10" s="7" t="s">
        <v>113</v>
      </c>
      <c r="AK10" s="8" t="s">
        <v>114</v>
      </c>
      <c r="AL10" s="8" t="s">
        <v>115</v>
      </c>
      <c r="AM10" s="8" t="s">
        <v>116</v>
      </c>
      <c r="AN10" s="8" t="s">
        <v>117</v>
      </c>
      <c r="AO10" s="8" t="s">
        <v>118</v>
      </c>
      <c r="AP10" s="8" t="s">
        <v>119</v>
      </c>
      <c r="AQ10" s="8" t="s">
        <v>120</v>
      </c>
      <c r="AR10" s="8" t="s">
        <v>121</v>
      </c>
      <c r="AS10" s="8" t="s">
        <v>122</v>
      </c>
      <c r="AT10" s="9" t="s">
        <v>123</v>
      </c>
      <c r="AU10" s="9" t="s">
        <v>124</v>
      </c>
      <c r="AV10" s="9" t="s">
        <v>125</v>
      </c>
      <c r="AW10" s="9" t="s">
        <v>126</v>
      </c>
      <c r="AX10" s="9" t="s">
        <v>127</v>
      </c>
      <c r="AY10" s="10" t="s">
        <v>128</v>
      </c>
      <c r="AZ10" s="11" t="s">
        <v>129</v>
      </c>
      <c r="BA10" s="11" t="s">
        <v>130</v>
      </c>
      <c r="BB10" s="11" t="s">
        <v>131</v>
      </c>
      <c r="BC10" s="11" t="s">
        <v>132</v>
      </c>
      <c r="BD10" s="11" t="s">
        <v>133</v>
      </c>
      <c r="BE10" s="12" t="s">
        <v>134</v>
      </c>
      <c r="BF10" s="9" t="s">
        <v>135</v>
      </c>
      <c r="BG10" s="9" t="s">
        <v>136</v>
      </c>
      <c r="BH10" s="9" t="s">
        <v>137</v>
      </c>
      <c r="BI10" s="9" t="s">
        <v>138</v>
      </c>
      <c r="BJ10" s="9" t="s">
        <v>139</v>
      </c>
      <c r="BK10" s="9" t="s">
        <v>140</v>
      </c>
      <c r="BL10" s="9" t="s">
        <v>141</v>
      </c>
      <c r="BM10" s="12"/>
      <c r="BN10" s="12"/>
      <c r="BO10" s="37"/>
    </row>
    <row r="11" spans="1:67" ht="15" x14ac:dyDescent="0.25">
      <c r="A11" s="32"/>
      <c r="B11" s="6" t="s">
        <v>142</v>
      </c>
      <c r="C11" s="13" t="s">
        <v>143</v>
      </c>
      <c r="D11" s="11" t="s">
        <v>144</v>
      </c>
      <c r="E11" s="14" t="s">
        <v>145</v>
      </c>
      <c r="F11" s="7" t="s">
        <v>146</v>
      </c>
      <c r="G11" s="7" t="s">
        <v>147</v>
      </c>
      <c r="H11" s="7" t="s">
        <v>148</v>
      </c>
      <c r="I11" s="7" t="s">
        <v>149</v>
      </c>
      <c r="J11" s="7" t="s">
        <v>150</v>
      </c>
      <c r="K11" s="7" t="s">
        <v>151</v>
      </c>
      <c r="L11" s="7" t="s">
        <v>152</v>
      </c>
      <c r="M11" s="7" t="s">
        <v>153</v>
      </c>
      <c r="N11" s="7" t="s">
        <v>154</v>
      </c>
      <c r="O11" s="7" t="s">
        <v>155</v>
      </c>
      <c r="P11" s="7" t="s">
        <v>156</v>
      </c>
      <c r="Q11" s="7" t="s">
        <v>157</v>
      </c>
      <c r="R11" s="7" t="s">
        <v>158</v>
      </c>
      <c r="S11" s="7" t="s">
        <v>159</v>
      </c>
      <c r="T11" s="7" t="s">
        <v>160</v>
      </c>
      <c r="U11" s="15" t="s">
        <v>161</v>
      </c>
      <c r="V11" s="15" t="s">
        <v>162</v>
      </c>
      <c r="W11" s="7" t="s">
        <v>163</v>
      </c>
      <c r="X11" s="7" t="s">
        <v>164</v>
      </c>
      <c r="Y11" s="7" t="s">
        <v>165</v>
      </c>
      <c r="Z11" s="7" t="s">
        <v>166</v>
      </c>
      <c r="AA11" s="7" t="s">
        <v>167</v>
      </c>
      <c r="AB11" s="7" t="s">
        <v>168</v>
      </c>
      <c r="AC11" s="7" t="s">
        <v>169</v>
      </c>
      <c r="AD11" s="7" t="s">
        <v>170</v>
      </c>
      <c r="AE11" s="7" t="s">
        <v>171</v>
      </c>
      <c r="AF11" s="7" t="s">
        <v>172</v>
      </c>
      <c r="AG11" s="7" t="s">
        <v>173</v>
      </c>
      <c r="AH11" s="7" t="s">
        <v>174</v>
      </c>
      <c r="AI11" s="7" t="s">
        <v>175</v>
      </c>
      <c r="AJ11" s="7" t="s">
        <v>176</v>
      </c>
      <c r="AK11" s="16" t="s">
        <v>177</v>
      </c>
      <c r="AL11" s="16" t="s">
        <v>178</v>
      </c>
      <c r="AM11" s="16" t="s">
        <v>179</v>
      </c>
      <c r="AN11" s="16" t="s">
        <v>180</v>
      </c>
      <c r="AO11" s="16" t="s">
        <v>181</v>
      </c>
      <c r="AP11" s="16" t="s">
        <v>182</v>
      </c>
      <c r="AQ11" s="17" t="s">
        <v>183</v>
      </c>
      <c r="AR11" s="17" t="s">
        <v>184</v>
      </c>
      <c r="AS11" s="17" t="s">
        <v>185</v>
      </c>
      <c r="AT11" s="17" t="s">
        <v>186</v>
      </c>
      <c r="AU11" s="17" t="s">
        <v>187</v>
      </c>
      <c r="AV11" s="17" t="s">
        <v>188</v>
      </c>
      <c r="AW11" s="17" t="s">
        <v>189</v>
      </c>
      <c r="AX11" s="17" t="s">
        <v>190</v>
      </c>
      <c r="AY11" s="16" t="s">
        <v>191</v>
      </c>
      <c r="AZ11" s="16" t="s">
        <v>192</v>
      </c>
      <c r="BA11" s="16" t="s">
        <v>193</v>
      </c>
      <c r="BB11" s="16" t="s">
        <v>194</v>
      </c>
      <c r="BC11" s="16" t="s">
        <v>195</v>
      </c>
      <c r="BD11" s="16" t="s">
        <v>196</v>
      </c>
      <c r="BE11" s="16" t="s">
        <v>197</v>
      </c>
      <c r="BF11" s="16" t="s">
        <v>198</v>
      </c>
      <c r="BG11" s="16" t="s">
        <v>199</v>
      </c>
      <c r="BH11" s="16" t="s">
        <v>200</v>
      </c>
      <c r="BI11" s="16" t="s">
        <v>201</v>
      </c>
      <c r="BJ11" s="16" t="s">
        <v>202</v>
      </c>
      <c r="BK11" s="16" t="s">
        <v>203</v>
      </c>
      <c r="BL11" s="16" t="s">
        <v>204</v>
      </c>
      <c r="BM11" s="16"/>
      <c r="BN11" s="18"/>
      <c r="BO11" s="38"/>
    </row>
    <row r="12" spans="1:67" ht="15.75" x14ac:dyDescent="0.2">
      <c r="A12" s="23">
        <f>DATE(N6,K6,1)</f>
        <v>46082</v>
      </c>
      <c r="B12" s="24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20"/>
      <c r="BJ12" s="20"/>
      <c r="BK12" s="20"/>
      <c r="BL12" s="20"/>
      <c r="BM12" s="20"/>
      <c r="BN12" s="20"/>
      <c r="BO12" s="19"/>
    </row>
    <row r="13" spans="1:67" ht="15.75" x14ac:dyDescent="0.2">
      <c r="A13" s="23">
        <f>A12+1</f>
        <v>46083</v>
      </c>
      <c r="B13" s="24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</row>
    <row r="14" spans="1:67" ht="15.75" x14ac:dyDescent="0.2">
      <c r="A14" s="23">
        <f t="shared" ref="A14:A39" si="0">A13+1</f>
        <v>46084</v>
      </c>
      <c r="B14" s="24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</row>
    <row r="15" spans="1:67" ht="15.75" x14ac:dyDescent="0.2">
      <c r="A15" s="23">
        <f t="shared" si="0"/>
        <v>46085</v>
      </c>
      <c r="B15" s="24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</row>
    <row r="16" spans="1:67" ht="15.75" x14ac:dyDescent="0.2">
      <c r="A16" s="23">
        <f t="shared" si="0"/>
        <v>46086</v>
      </c>
      <c r="B16" s="24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</row>
    <row r="17" spans="1:67" ht="15.75" x14ac:dyDescent="0.2">
      <c r="A17" s="23">
        <f t="shared" si="0"/>
        <v>46087</v>
      </c>
      <c r="B17" s="24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</row>
    <row r="18" spans="1:67" ht="15.75" x14ac:dyDescent="0.2">
      <c r="A18" s="23">
        <f t="shared" si="0"/>
        <v>46088</v>
      </c>
      <c r="B18" s="24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</row>
    <row r="19" spans="1:67" ht="15.75" x14ac:dyDescent="0.2">
      <c r="A19" s="23">
        <f t="shared" si="0"/>
        <v>46089</v>
      </c>
      <c r="B19" s="24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</row>
    <row r="20" spans="1:67" ht="15.75" x14ac:dyDescent="0.2">
      <c r="A20" s="23">
        <f t="shared" si="0"/>
        <v>46090</v>
      </c>
      <c r="B20" s="24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</row>
    <row r="21" spans="1:67" ht="15.75" x14ac:dyDescent="0.2">
      <c r="A21" s="23">
        <f t="shared" si="0"/>
        <v>46091</v>
      </c>
      <c r="B21" s="24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  <c r="BO21" s="19"/>
    </row>
    <row r="22" spans="1:67" ht="15.75" x14ac:dyDescent="0.2">
      <c r="A22" s="23">
        <f t="shared" si="0"/>
        <v>46092</v>
      </c>
      <c r="B22" s="24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</row>
    <row r="23" spans="1:67" ht="15.75" x14ac:dyDescent="0.2">
      <c r="A23" s="23">
        <f t="shared" si="0"/>
        <v>46093</v>
      </c>
      <c r="B23" s="24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</row>
    <row r="24" spans="1:67" ht="15.75" x14ac:dyDescent="0.2">
      <c r="A24" s="23">
        <f t="shared" si="0"/>
        <v>46094</v>
      </c>
      <c r="B24" s="24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</row>
    <row r="25" spans="1:67" ht="15.75" x14ac:dyDescent="0.2">
      <c r="A25" s="23">
        <f t="shared" si="0"/>
        <v>46095</v>
      </c>
      <c r="B25" s="24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/>
      <c r="BO25" s="19"/>
    </row>
    <row r="26" spans="1:67" ht="15.75" x14ac:dyDescent="0.2">
      <c r="A26" s="23">
        <f t="shared" si="0"/>
        <v>46096</v>
      </c>
      <c r="B26" s="24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</row>
    <row r="27" spans="1:67" ht="15.75" x14ac:dyDescent="0.2">
      <c r="A27" s="23">
        <f t="shared" si="0"/>
        <v>46097</v>
      </c>
      <c r="B27" s="24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</row>
    <row r="28" spans="1:67" ht="15.75" x14ac:dyDescent="0.2">
      <c r="A28" s="23">
        <f t="shared" si="0"/>
        <v>46098</v>
      </c>
      <c r="B28" s="24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</row>
    <row r="29" spans="1:67" ht="15.75" x14ac:dyDescent="0.2">
      <c r="A29" s="23">
        <f t="shared" si="0"/>
        <v>46099</v>
      </c>
      <c r="B29" s="24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</row>
    <row r="30" spans="1:67" ht="15.75" x14ac:dyDescent="0.2">
      <c r="A30" s="23">
        <f t="shared" si="0"/>
        <v>46100</v>
      </c>
      <c r="B30" s="24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</row>
    <row r="31" spans="1:67" ht="15.75" x14ac:dyDescent="0.2">
      <c r="A31" s="23">
        <f t="shared" si="0"/>
        <v>46101</v>
      </c>
      <c r="B31" s="24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</row>
    <row r="32" spans="1:67" ht="15.75" x14ac:dyDescent="0.2">
      <c r="A32" s="23">
        <f t="shared" si="0"/>
        <v>46102</v>
      </c>
      <c r="B32" s="24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</row>
    <row r="33" spans="1:67" ht="15.75" x14ac:dyDescent="0.2">
      <c r="A33" s="23">
        <f t="shared" si="0"/>
        <v>46103</v>
      </c>
      <c r="B33" s="24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19"/>
      <c r="BN33" s="19"/>
      <c r="BO33" s="19"/>
    </row>
    <row r="34" spans="1:67" ht="15.75" x14ac:dyDescent="0.2">
      <c r="A34" s="23">
        <f>A33+1</f>
        <v>46104</v>
      </c>
      <c r="B34" s="24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/>
      <c r="BG34" s="19"/>
      <c r="BH34" s="19"/>
      <c r="BI34" s="19"/>
      <c r="BJ34" s="19"/>
      <c r="BK34" s="19"/>
      <c r="BL34" s="19"/>
      <c r="BM34" s="19"/>
      <c r="BN34" s="19"/>
      <c r="BO34" s="19"/>
    </row>
    <row r="35" spans="1:67" ht="15.75" x14ac:dyDescent="0.2">
      <c r="A35" s="23">
        <f t="shared" si="0"/>
        <v>46105</v>
      </c>
      <c r="B35" s="24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/>
      <c r="BG35" s="19"/>
      <c r="BH35" s="19"/>
      <c r="BI35" s="19"/>
      <c r="BJ35" s="19"/>
      <c r="BK35" s="19"/>
      <c r="BL35" s="19"/>
      <c r="BM35" s="19"/>
      <c r="BN35" s="19"/>
      <c r="BO35" s="19"/>
    </row>
    <row r="36" spans="1:67" ht="15.75" x14ac:dyDescent="0.2">
      <c r="A36" s="23">
        <f t="shared" si="0"/>
        <v>46106</v>
      </c>
      <c r="B36" s="24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19"/>
      <c r="BJ36" s="19"/>
      <c r="BK36" s="19"/>
      <c r="BL36" s="19"/>
      <c r="BM36" s="19"/>
      <c r="BN36" s="19"/>
      <c r="BO36" s="19"/>
    </row>
    <row r="37" spans="1:67" ht="15.75" x14ac:dyDescent="0.2">
      <c r="A37" s="23">
        <f t="shared" si="0"/>
        <v>46107</v>
      </c>
      <c r="B37" s="24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19"/>
      <c r="BJ37" s="19"/>
      <c r="BK37" s="19"/>
      <c r="BL37" s="19"/>
      <c r="BM37" s="19"/>
      <c r="BN37" s="19"/>
      <c r="BO37" s="19"/>
    </row>
    <row r="38" spans="1:67" ht="15.75" x14ac:dyDescent="0.2">
      <c r="A38" s="23">
        <f t="shared" si="0"/>
        <v>46108</v>
      </c>
      <c r="B38" s="24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/>
      <c r="BG38" s="19"/>
      <c r="BH38" s="19"/>
      <c r="BI38" s="19"/>
      <c r="BJ38" s="19"/>
      <c r="BK38" s="19"/>
      <c r="BL38" s="19"/>
      <c r="BM38" s="19"/>
      <c r="BN38" s="19"/>
      <c r="BO38" s="19"/>
    </row>
    <row r="39" spans="1:67" ht="15.75" x14ac:dyDescent="0.2">
      <c r="A39" s="23">
        <f t="shared" si="0"/>
        <v>46109</v>
      </c>
      <c r="B39" s="24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/>
      <c r="BG39" s="19"/>
      <c r="BH39" s="19"/>
      <c r="BI39" s="19"/>
      <c r="BJ39" s="19"/>
      <c r="BK39" s="19"/>
      <c r="BL39" s="19"/>
      <c r="BM39" s="19"/>
      <c r="BN39" s="19"/>
      <c r="BO39" s="19"/>
    </row>
    <row r="40" spans="1:67" ht="15.75" x14ac:dyDescent="0.2">
      <c r="A40" s="23">
        <f>IF(A39="","",IF(A39=EOMONTH(DATE($N$6,$K$6,1),0),"",A39+1))</f>
        <v>46110</v>
      </c>
      <c r="B40" s="24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/>
      <c r="BG40" s="19"/>
      <c r="BH40" s="19"/>
      <c r="BI40" s="19"/>
      <c r="BJ40" s="19"/>
      <c r="BK40" s="19"/>
      <c r="BL40" s="19"/>
      <c r="BM40" s="19"/>
      <c r="BN40" s="19"/>
      <c r="BO40" s="19"/>
    </row>
    <row r="41" spans="1:67" ht="15.75" x14ac:dyDescent="0.2">
      <c r="A41" s="23">
        <f>IF(A40="","",IF(A40=EOMONTH(DATE($N$6,$K$6,1),0),"",A40+1))</f>
        <v>46111</v>
      </c>
      <c r="B41" s="24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/>
      <c r="BG41" s="19"/>
      <c r="BH41" s="19"/>
      <c r="BI41" s="19"/>
      <c r="BJ41" s="19"/>
      <c r="BK41" s="19"/>
      <c r="BL41" s="19"/>
      <c r="BM41" s="19"/>
      <c r="BN41" s="19"/>
      <c r="BO41" s="19"/>
    </row>
    <row r="42" spans="1:67" ht="15.75" x14ac:dyDescent="0.2">
      <c r="A42" s="23">
        <f>IF(A41="","",IF(A41=EOMONTH(DATE($N$6,$K$6,1),0),"",A41+1))</f>
        <v>46112</v>
      </c>
      <c r="B42" s="24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/>
      <c r="BG42" s="19"/>
      <c r="BH42" s="19"/>
      <c r="BI42" s="19"/>
      <c r="BJ42" s="19"/>
      <c r="BK42" s="19"/>
      <c r="BL42" s="19"/>
      <c r="BM42" s="19"/>
      <c r="BN42" s="19"/>
      <c r="BO42" s="19"/>
    </row>
    <row r="43" spans="1:67" ht="13.5" x14ac:dyDescent="0.25">
      <c r="A43" s="21" t="s">
        <v>205</v>
      </c>
      <c r="B43" s="25" t="s">
        <v>206</v>
      </c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</row>
    <row r="44" spans="1:67" x14ac:dyDescent="0.2">
      <c r="A44" s="22"/>
      <c r="B44" s="22" t="s">
        <v>207</v>
      </c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 t="s">
        <v>208</v>
      </c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</row>
  </sheetData>
  <mergeCells count="45">
    <mergeCell ref="A1:A3"/>
    <mergeCell ref="B1:M3"/>
    <mergeCell ref="N1:BO1"/>
    <mergeCell ref="N2:P2"/>
    <mergeCell ref="Q2:BN2"/>
    <mergeCell ref="N3:P3"/>
    <mergeCell ref="Q3:BN3"/>
    <mergeCell ref="A4:BO4"/>
    <mergeCell ref="A5:BO5"/>
    <mergeCell ref="N6:O6"/>
    <mergeCell ref="A8:A11"/>
    <mergeCell ref="B8:P8"/>
    <mergeCell ref="BO8:BO11"/>
    <mergeCell ref="A23:B23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35:B35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42:B42"/>
    <mergeCell ref="B43:N43"/>
    <mergeCell ref="A36:B36"/>
    <mergeCell ref="A37:B37"/>
    <mergeCell ref="A38:B38"/>
    <mergeCell ref="A39:B39"/>
    <mergeCell ref="A40:B40"/>
    <mergeCell ref="A41:B41"/>
  </mergeCells>
  <conditionalFormatting sqref="AR10">
    <cfRule type="duplicateValues" dxfId="19" priority="2"/>
  </conditionalFormatting>
  <conditionalFormatting sqref="AS10">
    <cfRule type="duplicateValues" dxfId="18" priority="1"/>
  </conditionalFormatting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1267" r:id="rId3" name="Spinner 3">
              <controlPr defaultSize="0" autoPict="0">
                <anchor moveWithCells="1" sizeWithCells="1">
                  <from>
                    <xdr:col>11</xdr:col>
                    <xdr:colOff>19050</xdr:colOff>
                    <xdr:row>4</xdr:row>
                    <xdr:rowOff>123825</xdr:rowOff>
                  </from>
                  <to>
                    <xdr:col>11</xdr:col>
                    <xdr:colOff>342900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8" r:id="rId4" name="Spinner 4">
              <controlPr defaultSize="0" autoPict="0">
                <anchor moveWithCells="1" sizeWithCells="1">
                  <from>
                    <xdr:col>15</xdr:col>
                    <xdr:colOff>0</xdr:colOff>
                    <xdr:row>4</xdr:row>
                    <xdr:rowOff>123825</xdr:rowOff>
                  </from>
                  <to>
                    <xdr:col>15</xdr:col>
                    <xdr:colOff>323850</xdr:colOff>
                    <xdr:row>6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O44"/>
  <sheetViews>
    <sheetView tabSelected="1" zoomScale="70" zoomScaleNormal="70" workbookViewId="0">
      <selection activeCell="I39" sqref="I39"/>
    </sheetView>
  </sheetViews>
  <sheetFormatPr defaultRowHeight="12.75" x14ac:dyDescent="0.2"/>
  <cols>
    <col min="1" max="2" width="23.5" bestFit="1" customWidth="1"/>
    <col min="3" max="3" width="31.6640625" bestFit="1" customWidth="1"/>
    <col min="4" max="4" width="47" bestFit="1" customWidth="1"/>
    <col min="5" max="5" width="40.6640625" bestFit="1" customWidth="1"/>
    <col min="6" max="6" width="32.83203125" bestFit="1" customWidth="1"/>
    <col min="7" max="7" width="32" bestFit="1" customWidth="1"/>
    <col min="8" max="13" width="32.5" bestFit="1" customWidth="1"/>
    <col min="14" max="14" width="34.5" bestFit="1" customWidth="1"/>
    <col min="15" max="15" width="34.1640625" bestFit="1" customWidth="1"/>
    <col min="16" max="16" width="33.6640625" bestFit="1" customWidth="1"/>
    <col min="17" max="17" width="25.6640625" bestFit="1" customWidth="1"/>
    <col min="18" max="19" width="25" bestFit="1" customWidth="1"/>
    <col min="20" max="20" width="35.1640625" bestFit="1" customWidth="1"/>
    <col min="21" max="22" width="37.5" bestFit="1" customWidth="1"/>
    <col min="23" max="23" width="42.5" bestFit="1" customWidth="1"/>
    <col min="24" max="25" width="41.83203125" bestFit="1" customWidth="1"/>
    <col min="26" max="26" width="39.6640625" bestFit="1" customWidth="1"/>
    <col min="27" max="27" width="39" bestFit="1" customWidth="1"/>
    <col min="28" max="34" width="40.1640625" bestFit="1" customWidth="1"/>
    <col min="35" max="35" width="39.6640625" bestFit="1" customWidth="1"/>
    <col min="36" max="36" width="28.5" bestFit="1" customWidth="1"/>
    <col min="37" max="38" width="47.83203125" bestFit="1" customWidth="1"/>
    <col min="39" max="39" width="49" bestFit="1" customWidth="1"/>
    <col min="40" max="40" width="49.5" bestFit="1" customWidth="1"/>
    <col min="41" max="41" width="46.33203125" bestFit="1" customWidth="1"/>
    <col min="42" max="42" width="46.6640625" bestFit="1" customWidth="1"/>
    <col min="43" max="43" width="34" bestFit="1" customWidth="1"/>
    <col min="44" max="45" width="26.6640625" bestFit="1" customWidth="1"/>
    <col min="46" max="47" width="30.33203125" bestFit="1" customWidth="1"/>
    <col min="48" max="48" width="35.83203125" bestFit="1" customWidth="1"/>
    <col min="49" max="49" width="37" bestFit="1" customWidth="1"/>
    <col min="50" max="50" width="33.33203125" bestFit="1" customWidth="1"/>
    <col min="51" max="51" width="34.1640625" bestFit="1" customWidth="1"/>
    <col min="52" max="52" width="33.5" bestFit="1" customWidth="1"/>
    <col min="53" max="54" width="36.6640625" bestFit="1" customWidth="1"/>
    <col min="55" max="56" width="43.33203125" bestFit="1" customWidth="1"/>
    <col min="57" max="57" width="41.6640625" bestFit="1" customWidth="1"/>
    <col min="58" max="58" width="44.1640625" bestFit="1" customWidth="1"/>
    <col min="59" max="59" width="32" bestFit="1" customWidth="1"/>
    <col min="60" max="60" width="39.1640625" bestFit="1" customWidth="1"/>
    <col min="61" max="61" width="35.6640625" bestFit="1" customWidth="1"/>
    <col min="62" max="62" width="30.6640625" bestFit="1" customWidth="1"/>
    <col min="63" max="63" width="44" bestFit="1" customWidth="1"/>
    <col min="64" max="64" width="39" bestFit="1" customWidth="1"/>
    <col min="65" max="66" width="6.83203125" bestFit="1" customWidth="1"/>
    <col min="67" max="67" width="14.6640625" bestFit="1" customWidth="1"/>
  </cols>
  <sheetData>
    <row r="1" spans="1:67" x14ac:dyDescent="0.2">
      <c r="A1" s="39" t="s">
        <v>0</v>
      </c>
      <c r="B1" s="40" t="s">
        <v>1</v>
      </c>
      <c r="C1" s="41"/>
      <c r="D1" s="41"/>
      <c r="E1" s="41"/>
      <c r="F1" s="41"/>
      <c r="G1" s="41"/>
      <c r="H1" s="41"/>
      <c r="I1" s="41"/>
      <c r="J1" s="41"/>
      <c r="K1" s="41"/>
      <c r="L1" s="41"/>
      <c r="M1" s="42"/>
      <c r="N1" s="49" t="s">
        <v>2</v>
      </c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  <c r="AJ1" s="50"/>
      <c r="AK1" s="50"/>
      <c r="AL1" s="50"/>
      <c r="AM1" s="50"/>
      <c r="AN1" s="50"/>
      <c r="AO1" s="50"/>
      <c r="AP1" s="50"/>
      <c r="AQ1" s="50"/>
      <c r="AR1" s="50"/>
      <c r="AS1" s="50"/>
      <c r="AT1" s="50"/>
      <c r="AU1" s="50"/>
      <c r="AV1" s="50"/>
      <c r="AW1" s="50"/>
      <c r="AX1" s="50"/>
      <c r="AY1" s="50"/>
      <c r="AZ1" s="50"/>
      <c r="BA1" s="50"/>
      <c r="BB1" s="50"/>
      <c r="BC1" s="50"/>
      <c r="BD1" s="50"/>
      <c r="BE1" s="50"/>
      <c r="BF1" s="50"/>
      <c r="BG1" s="50"/>
      <c r="BH1" s="50"/>
      <c r="BI1" s="50"/>
      <c r="BJ1" s="50"/>
      <c r="BK1" s="50"/>
      <c r="BL1" s="50"/>
      <c r="BM1" s="50"/>
      <c r="BN1" s="50"/>
      <c r="BO1" s="51"/>
    </row>
    <row r="2" spans="1:67" x14ac:dyDescent="0.2">
      <c r="A2" s="39"/>
      <c r="B2" s="43"/>
      <c r="C2" s="44"/>
      <c r="D2" s="44"/>
      <c r="E2" s="44"/>
      <c r="F2" s="44"/>
      <c r="G2" s="44"/>
      <c r="H2" s="44"/>
      <c r="I2" s="44"/>
      <c r="J2" s="44"/>
      <c r="K2" s="44"/>
      <c r="L2" s="44"/>
      <c r="M2" s="45"/>
      <c r="N2" s="49" t="s">
        <v>3</v>
      </c>
      <c r="O2" s="50"/>
      <c r="P2" s="51"/>
      <c r="Q2" s="49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50"/>
      <c r="AO2" s="50"/>
      <c r="AP2" s="50"/>
      <c r="AQ2" s="50"/>
      <c r="AR2" s="50"/>
      <c r="AS2" s="50"/>
      <c r="AT2" s="50"/>
      <c r="AU2" s="50"/>
      <c r="AV2" s="50"/>
      <c r="AW2" s="50"/>
      <c r="AX2" s="50"/>
      <c r="AY2" s="50"/>
      <c r="AZ2" s="50"/>
      <c r="BA2" s="50"/>
      <c r="BB2" s="50"/>
      <c r="BC2" s="50"/>
      <c r="BD2" s="50"/>
      <c r="BE2" s="50"/>
      <c r="BF2" s="50"/>
      <c r="BG2" s="50"/>
      <c r="BH2" s="50"/>
      <c r="BI2" s="50"/>
      <c r="BJ2" s="50"/>
      <c r="BK2" s="50"/>
      <c r="BL2" s="50"/>
      <c r="BM2" s="50"/>
      <c r="BN2" s="51"/>
      <c r="BO2" s="1" t="s">
        <v>4</v>
      </c>
    </row>
    <row r="3" spans="1:67" x14ac:dyDescent="0.2">
      <c r="A3" s="39"/>
      <c r="B3" s="46"/>
      <c r="C3" s="47"/>
      <c r="D3" s="47"/>
      <c r="E3" s="47"/>
      <c r="F3" s="47"/>
      <c r="G3" s="47"/>
      <c r="H3" s="47"/>
      <c r="I3" s="47"/>
      <c r="J3" s="47"/>
      <c r="K3" s="47"/>
      <c r="L3" s="47"/>
      <c r="M3" s="48"/>
      <c r="N3" s="49" t="s">
        <v>5</v>
      </c>
      <c r="O3" s="50"/>
      <c r="P3" s="51"/>
      <c r="Q3" s="49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/>
      <c r="AS3" s="50"/>
      <c r="AT3" s="50"/>
      <c r="AU3" s="50"/>
      <c r="AV3" s="50"/>
      <c r="AW3" s="50"/>
      <c r="AX3" s="50"/>
      <c r="AY3" s="50"/>
      <c r="AZ3" s="50"/>
      <c r="BA3" s="50"/>
      <c r="BB3" s="50"/>
      <c r="BC3" s="50"/>
      <c r="BD3" s="50"/>
      <c r="BE3" s="50"/>
      <c r="BF3" s="50"/>
      <c r="BG3" s="50"/>
      <c r="BH3" s="50"/>
      <c r="BI3" s="50"/>
      <c r="BJ3" s="50"/>
      <c r="BK3" s="50"/>
      <c r="BL3" s="50"/>
      <c r="BM3" s="50"/>
      <c r="BN3" s="51"/>
      <c r="BO3" s="1" t="s">
        <v>6</v>
      </c>
    </row>
    <row r="4" spans="1:67" x14ac:dyDescent="0.2">
      <c r="A4" s="26" t="s">
        <v>7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8"/>
    </row>
    <row r="5" spans="1:67" ht="18.75" x14ac:dyDescent="0.2">
      <c r="A5" s="29"/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</row>
    <row r="6" spans="1:67" ht="15.75" x14ac:dyDescent="0.25">
      <c r="A6" s="2" t="s">
        <v>8</v>
      </c>
      <c r="B6" s="3"/>
      <c r="C6" s="3"/>
      <c r="D6" s="3"/>
      <c r="E6" s="3"/>
      <c r="F6" s="3"/>
      <c r="G6" s="3"/>
      <c r="H6" s="3"/>
      <c r="I6" s="3"/>
      <c r="J6" s="3" t="s">
        <v>9</v>
      </c>
      <c r="K6" s="3">
        <v>4</v>
      </c>
      <c r="L6" s="3"/>
      <c r="M6" s="3" t="s">
        <v>10</v>
      </c>
      <c r="N6" s="30">
        <v>2026</v>
      </c>
      <c r="O6" s="30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</row>
    <row r="7" spans="1:67" ht="15.7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</row>
    <row r="8" spans="1:67" ht="15.75" x14ac:dyDescent="0.25">
      <c r="A8" s="31" t="s">
        <v>11</v>
      </c>
      <c r="B8" s="33" t="s">
        <v>12</v>
      </c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5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36" t="s">
        <v>13</v>
      </c>
    </row>
    <row r="9" spans="1:67" x14ac:dyDescent="0.2">
      <c r="A9" s="31"/>
      <c r="B9" s="5" t="s">
        <v>14</v>
      </c>
      <c r="C9" s="5" t="s">
        <v>15</v>
      </c>
      <c r="D9" s="5" t="s">
        <v>16</v>
      </c>
      <c r="E9" s="5" t="s">
        <v>17</v>
      </c>
      <c r="F9" s="5" t="s">
        <v>18</v>
      </c>
      <c r="G9" s="5" t="s">
        <v>19</v>
      </c>
      <c r="H9" s="5" t="s">
        <v>20</v>
      </c>
      <c r="I9" s="5" t="s">
        <v>21</v>
      </c>
      <c r="J9" s="5" t="s">
        <v>22</v>
      </c>
      <c r="K9" s="5" t="s">
        <v>23</v>
      </c>
      <c r="L9" s="5" t="s">
        <v>24</v>
      </c>
      <c r="M9" s="5" t="s">
        <v>25</v>
      </c>
      <c r="N9" s="5" t="s">
        <v>26</v>
      </c>
      <c r="O9" s="5" t="s">
        <v>27</v>
      </c>
      <c r="P9" s="5" t="s">
        <v>28</v>
      </c>
      <c r="Q9" s="5" t="s">
        <v>29</v>
      </c>
      <c r="R9" s="5" t="s">
        <v>30</v>
      </c>
      <c r="S9" s="5" t="s">
        <v>31</v>
      </c>
      <c r="T9" s="5" t="s">
        <v>32</v>
      </c>
      <c r="U9" s="5" t="s">
        <v>33</v>
      </c>
      <c r="V9" s="5" t="s">
        <v>34</v>
      </c>
      <c r="W9" s="5" t="s">
        <v>35</v>
      </c>
      <c r="X9" s="5" t="s">
        <v>36</v>
      </c>
      <c r="Y9" s="5" t="s">
        <v>37</v>
      </c>
      <c r="Z9" s="5" t="s">
        <v>38</v>
      </c>
      <c r="AA9" s="5" t="s">
        <v>39</v>
      </c>
      <c r="AB9" s="5" t="s">
        <v>40</v>
      </c>
      <c r="AC9" s="5" t="s">
        <v>41</v>
      </c>
      <c r="AD9" s="5" t="s">
        <v>42</v>
      </c>
      <c r="AE9" s="5" t="s">
        <v>43</v>
      </c>
      <c r="AF9" s="5" t="s">
        <v>44</v>
      </c>
      <c r="AG9" s="5" t="s">
        <v>45</v>
      </c>
      <c r="AH9" s="5" t="s">
        <v>46</v>
      </c>
      <c r="AI9" s="5" t="s">
        <v>47</v>
      </c>
      <c r="AJ9" s="5" t="s">
        <v>48</v>
      </c>
      <c r="AK9" s="5" t="s">
        <v>49</v>
      </c>
      <c r="AL9" s="5" t="s">
        <v>50</v>
      </c>
      <c r="AM9" s="5" t="s">
        <v>51</v>
      </c>
      <c r="AN9" s="5" t="s">
        <v>52</v>
      </c>
      <c r="AO9" s="5" t="s">
        <v>53</v>
      </c>
      <c r="AP9" s="5" t="s">
        <v>54</v>
      </c>
      <c r="AQ9" s="5" t="s">
        <v>55</v>
      </c>
      <c r="AR9" s="5" t="s">
        <v>56</v>
      </c>
      <c r="AS9" s="5" t="s">
        <v>57</v>
      </c>
      <c r="AT9" s="5" t="s">
        <v>58</v>
      </c>
      <c r="AU9" s="5" t="s">
        <v>59</v>
      </c>
      <c r="AV9" s="5" t="s">
        <v>60</v>
      </c>
      <c r="AW9" s="5" t="s">
        <v>61</v>
      </c>
      <c r="AX9" s="5" t="s">
        <v>62</v>
      </c>
      <c r="AY9" s="5" t="s">
        <v>63</v>
      </c>
      <c r="AZ9" s="5" t="s">
        <v>64</v>
      </c>
      <c r="BA9" s="5" t="s">
        <v>65</v>
      </c>
      <c r="BB9" s="5" t="s">
        <v>66</v>
      </c>
      <c r="BC9" s="5" t="s">
        <v>67</v>
      </c>
      <c r="BD9" s="5" t="s">
        <v>68</v>
      </c>
      <c r="BE9" s="5" t="s">
        <v>69</v>
      </c>
      <c r="BF9" s="5" t="s">
        <v>70</v>
      </c>
      <c r="BG9" s="5" t="s">
        <v>71</v>
      </c>
      <c r="BH9" s="5" t="s">
        <v>72</v>
      </c>
      <c r="BI9" s="5" t="s">
        <v>73</v>
      </c>
      <c r="BJ9" s="5" t="s">
        <v>74</v>
      </c>
      <c r="BK9" s="5" t="s">
        <v>75</v>
      </c>
      <c r="BL9" s="5" t="s">
        <v>76</v>
      </c>
      <c r="BM9" s="5" t="s">
        <v>77</v>
      </c>
      <c r="BN9" s="5" t="s">
        <v>78</v>
      </c>
      <c r="BO9" s="37"/>
    </row>
    <row r="10" spans="1:67" ht="30" x14ac:dyDescent="0.25">
      <c r="A10" s="31"/>
      <c r="B10" s="6" t="s">
        <v>79</v>
      </c>
      <c r="C10" s="7" t="s">
        <v>80</v>
      </c>
      <c r="D10" s="8" t="s">
        <v>81</v>
      </c>
      <c r="E10" s="7" t="s">
        <v>82</v>
      </c>
      <c r="F10" s="7" t="s">
        <v>83</v>
      </c>
      <c r="G10" s="7" t="s">
        <v>84</v>
      </c>
      <c r="H10" s="7" t="s">
        <v>85</v>
      </c>
      <c r="I10" s="7" t="s">
        <v>86</v>
      </c>
      <c r="J10" s="7" t="s">
        <v>87</v>
      </c>
      <c r="K10" s="7" t="s">
        <v>88</v>
      </c>
      <c r="L10" s="7" t="s">
        <v>89</v>
      </c>
      <c r="M10" s="7" t="s">
        <v>90</v>
      </c>
      <c r="N10" s="7" t="s">
        <v>91</v>
      </c>
      <c r="O10" s="7" t="s">
        <v>92</v>
      </c>
      <c r="P10" s="7" t="s">
        <v>93</v>
      </c>
      <c r="Q10" s="7" t="s">
        <v>94</v>
      </c>
      <c r="R10" s="7" t="s">
        <v>95</v>
      </c>
      <c r="S10" s="7" t="s">
        <v>96</v>
      </c>
      <c r="T10" s="7" t="s">
        <v>97</v>
      </c>
      <c r="U10" s="8" t="s">
        <v>98</v>
      </c>
      <c r="V10" s="8" t="s">
        <v>99</v>
      </c>
      <c r="W10" s="7" t="s">
        <v>100</v>
      </c>
      <c r="X10" s="7" t="s">
        <v>101</v>
      </c>
      <c r="Y10" s="7" t="s">
        <v>102</v>
      </c>
      <c r="Z10" s="7" t="s">
        <v>103</v>
      </c>
      <c r="AA10" s="7" t="s">
        <v>104</v>
      </c>
      <c r="AB10" s="7" t="s">
        <v>105</v>
      </c>
      <c r="AC10" s="7" t="s">
        <v>106</v>
      </c>
      <c r="AD10" s="7" t="s">
        <v>107</v>
      </c>
      <c r="AE10" s="7" t="s">
        <v>108</v>
      </c>
      <c r="AF10" s="7" t="s">
        <v>109</v>
      </c>
      <c r="AG10" s="7" t="s">
        <v>110</v>
      </c>
      <c r="AH10" s="7" t="s">
        <v>111</v>
      </c>
      <c r="AI10" s="7" t="s">
        <v>112</v>
      </c>
      <c r="AJ10" s="7" t="s">
        <v>113</v>
      </c>
      <c r="AK10" s="8" t="s">
        <v>114</v>
      </c>
      <c r="AL10" s="8" t="s">
        <v>115</v>
      </c>
      <c r="AM10" s="8" t="s">
        <v>116</v>
      </c>
      <c r="AN10" s="8" t="s">
        <v>117</v>
      </c>
      <c r="AO10" s="8" t="s">
        <v>118</v>
      </c>
      <c r="AP10" s="8" t="s">
        <v>119</v>
      </c>
      <c r="AQ10" s="8" t="s">
        <v>120</v>
      </c>
      <c r="AR10" s="8" t="s">
        <v>121</v>
      </c>
      <c r="AS10" s="8" t="s">
        <v>122</v>
      </c>
      <c r="AT10" s="9" t="s">
        <v>123</v>
      </c>
      <c r="AU10" s="9" t="s">
        <v>124</v>
      </c>
      <c r="AV10" s="9" t="s">
        <v>125</v>
      </c>
      <c r="AW10" s="9" t="s">
        <v>126</v>
      </c>
      <c r="AX10" s="9" t="s">
        <v>127</v>
      </c>
      <c r="AY10" s="10" t="s">
        <v>128</v>
      </c>
      <c r="AZ10" s="11" t="s">
        <v>129</v>
      </c>
      <c r="BA10" s="11" t="s">
        <v>130</v>
      </c>
      <c r="BB10" s="11" t="s">
        <v>131</v>
      </c>
      <c r="BC10" s="11" t="s">
        <v>132</v>
      </c>
      <c r="BD10" s="11" t="s">
        <v>133</v>
      </c>
      <c r="BE10" s="12" t="s">
        <v>134</v>
      </c>
      <c r="BF10" s="9" t="s">
        <v>135</v>
      </c>
      <c r="BG10" s="9" t="s">
        <v>136</v>
      </c>
      <c r="BH10" s="9" t="s">
        <v>137</v>
      </c>
      <c r="BI10" s="9" t="s">
        <v>138</v>
      </c>
      <c r="BJ10" s="9" t="s">
        <v>139</v>
      </c>
      <c r="BK10" s="9" t="s">
        <v>140</v>
      </c>
      <c r="BL10" s="9" t="s">
        <v>141</v>
      </c>
      <c r="BM10" s="12"/>
      <c r="BN10" s="12"/>
      <c r="BO10" s="37"/>
    </row>
    <row r="11" spans="1:67" ht="15" x14ac:dyDescent="0.25">
      <c r="A11" s="32"/>
      <c r="B11" s="6" t="s">
        <v>142</v>
      </c>
      <c r="C11" s="13" t="s">
        <v>143</v>
      </c>
      <c r="D11" s="11" t="s">
        <v>144</v>
      </c>
      <c r="E11" s="14" t="s">
        <v>145</v>
      </c>
      <c r="F11" s="7" t="s">
        <v>146</v>
      </c>
      <c r="G11" s="7" t="s">
        <v>147</v>
      </c>
      <c r="H11" s="7" t="s">
        <v>148</v>
      </c>
      <c r="I11" s="7" t="s">
        <v>149</v>
      </c>
      <c r="J11" s="7" t="s">
        <v>150</v>
      </c>
      <c r="K11" s="7" t="s">
        <v>151</v>
      </c>
      <c r="L11" s="7" t="s">
        <v>152</v>
      </c>
      <c r="M11" s="7" t="s">
        <v>153</v>
      </c>
      <c r="N11" s="7" t="s">
        <v>154</v>
      </c>
      <c r="O11" s="7" t="s">
        <v>155</v>
      </c>
      <c r="P11" s="7" t="s">
        <v>156</v>
      </c>
      <c r="Q11" s="7" t="s">
        <v>157</v>
      </c>
      <c r="R11" s="7" t="s">
        <v>158</v>
      </c>
      <c r="S11" s="7" t="s">
        <v>159</v>
      </c>
      <c r="T11" s="7" t="s">
        <v>160</v>
      </c>
      <c r="U11" s="15" t="s">
        <v>161</v>
      </c>
      <c r="V11" s="15" t="s">
        <v>162</v>
      </c>
      <c r="W11" s="7" t="s">
        <v>163</v>
      </c>
      <c r="X11" s="7" t="s">
        <v>164</v>
      </c>
      <c r="Y11" s="7" t="s">
        <v>165</v>
      </c>
      <c r="Z11" s="7" t="s">
        <v>166</v>
      </c>
      <c r="AA11" s="7" t="s">
        <v>167</v>
      </c>
      <c r="AB11" s="7" t="s">
        <v>168</v>
      </c>
      <c r="AC11" s="7" t="s">
        <v>169</v>
      </c>
      <c r="AD11" s="7" t="s">
        <v>170</v>
      </c>
      <c r="AE11" s="7" t="s">
        <v>171</v>
      </c>
      <c r="AF11" s="7" t="s">
        <v>172</v>
      </c>
      <c r="AG11" s="7" t="s">
        <v>173</v>
      </c>
      <c r="AH11" s="7" t="s">
        <v>174</v>
      </c>
      <c r="AI11" s="7" t="s">
        <v>175</v>
      </c>
      <c r="AJ11" s="7" t="s">
        <v>176</v>
      </c>
      <c r="AK11" s="16" t="s">
        <v>177</v>
      </c>
      <c r="AL11" s="16" t="s">
        <v>178</v>
      </c>
      <c r="AM11" s="16" t="s">
        <v>179</v>
      </c>
      <c r="AN11" s="16" t="s">
        <v>180</v>
      </c>
      <c r="AO11" s="16" t="s">
        <v>181</v>
      </c>
      <c r="AP11" s="16" t="s">
        <v>182</v>
      </c>
      <c r="AQ11" s="17" t="s">
        <v>183</v>
      </c>
      <c r="AR11" s="17" t="s">
        <v>184</v>
      </c>
      <c r="AS11" s="17" t="s">
        <v>185</v>
      </c>
      <c r="AT11" s="17" t="s">
        <v>186</v>
      </c>
      <c r="AU11" s="17" t="s">
        <v>187</v>
      </c>
      <c r="AV11" s="17" t="s">
        <v>188</v>
      </c>
      <c r="AW11" s="17" t="s">
        <v>189</v>
      </c>
      <c r="AX11" s="17" t="s">
        <v>190</v>
      </c>
      <c r="AY11" s="16" t="s">
        <v>191</v>
      </c>
      <c r="AZ11" s="16" t="s">
        <v>192</v>
      </c>
      <c r="BA11" s="16" t="s">
        <v>193</v>
      </c>
      <c r="BB11" s="16" t="s">
        <v>194</v>
      </c>
      <c r="BC11" s="16" t="s">
        <v>195</v>
      </c>
      <c r="BD11" s="16" t="s">
        <v>196</v>
      </c>
      <c r="BE11" s="16" t="s">
        <v>197</v>
      </c>
      <c r="BF11" s="16" t="s">
        <v>198</v>
      </c>
      <c r="BG11" s="16" t="s">
        <v>199</v>
      </c>
      <c r="BH11" s="16" t="s">
        <v>200</v>
      </c>
      <c r="BI11" s="16" t="s">
        <v>201</v>
      </c>
      <c r="BJ11" s="16" t="s">
        <v>202</v>
      </c>
      <c r="BK11" s="16" t="s">
        <v>203</v>
      </c>
      <c r="BL11" s="16" t="s">
        <v>204</v>
      </c>
      <c r="BM11" s="16"/>
      <c r="BN11" s="18"/>
      <c r="BO11" s="38"/>
    </row>
    <row r="12" spans="1:67" ht="15.75" x14ac:dyDescent="0.2">
      <c r="A12" s="23">
        <f>DATE(N6,K6,1)</f>
        <v>46113</v>
      </c>
      <c r="B12" s="24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20"/>
      <c r="BJ12" s="20"/>
      <c r="BK12" s="20"/>
      <c r="BL12" s="20"/>
      <c r="BM12" s="20"/>
      <c r="BN12" s="20"/>
      <c r="BO12" s="19"/>
    </row>
    <row r="13" spans="1:67" ht="15.75" x14ac:dyDescent="0.2">
      <c r="A13" s="23">
        <f>A12+1</f>
        <v>46114</v>
      </c>
      <c r="B13" s="24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</row>
    <row r="14" spans="1:67" ht="15.75" x14ac:dyDescent="0.2">
      <c r="A14" s="23">
        <f t="shared" ref="A14:A39" si="0">A13+1</f>
        <v>46115</v>
      </c>
      <c r="B14" s="24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</row>
    <row r="15" spans="1:67" ht="15.75" x14ac:dyDescent="0.2">
      <c r="A15" s="23">
        <f t="shared" si="0"/>
        <v>46116</v>
      </c>
      <c r="B15" s="24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</row>
    <row r="16" spans="1:67" ht="15.75" x14ac:dyDescent="0.2">
      <c r="A16" s="23">
        <f t="shared" si="0"/>
        <v>46117</v>
      </c>
      <c r="B16" s="24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</row>
    <row r="17" spans="1:67" ht="15.75" x14ac:dyDescent="0.2">
      <c r="A17" s="23">
        <f t="shared" si="0"/>
        <v>46118</v>
      </c>
      <c r="B17" s="24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</row>
    <row r="18" spans="1:67" ht="15.75" x14ac:dyDescent="0.2">
      <c r="A18" s="23">
        <f t="shared" si="0"/>
        <v>46119</v>
      </c>
      <c r="B18" s="24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</row>
    <row r="19" spans="1:67" ht="15.75" x14ac:dyDescent="0.2">
      <c r="A19" s="23">
        <f t="shared" si="0"/>
        <v>46120</v>
      </c>
      <c r="B19" s="24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</row>
    <row r="20" spans="1:67" ht="15.75" x14ac:dyDescent="0.2">
      <c r="A20" s="23">
        <f t="shared" si="0"/>
        <v>46121</v>
      </c>
      <c r="B20" s="24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</row>
    <row r="21" spans="1:67" ht="15.75" x14ac:dyDescent="0.2">
      <c r="A21" s="23">
        <f t="shared" si="0"/>
        <v>46122</v>
      </c>
      <c r="B21" s="24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  <c r="BO21" s="19"/>
    </row>
    <row r="22" spans="1:67" ht="15.75" x14ac:dyDescent="0.2">
      <c r="A22" s="23">
        <f t="shared" si="0"/>
        <v>46123</v>
      </c>
      <c r="B22" s="24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</row>
    <row r="23" spans="1:67" ht="15.75" x14ac:dyDescent="0.2">
      <c r="A23" s="23">
        <f t="shared" si="0"/>
        <v>46124</v>
      </c>
      <c r="B23" s="24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</row>
    <row r="24" spans="1:67" ht="15.75" x14ac:dyDescent="0.2">
      <c r="A24" s="23">
        <f t="shared" si="0"/>
        <v>46125</v>
      </c>
      <c r="B24" s="24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</row>
    <row r="25" spans="1:67" ht="15.75" x14ac:dyDescent="0.2">
      <c r="A25" s="23">
        <f t="shared" si="0"/>
        <v>46126</v>
      </c>
      <c r="B25" s="24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/>
      <c r="BO25" s="19"/>
    </row>
    <row r="26" spans="1:67" ht="15.75" x14ac:dyDescent="0.2">
      <c r="A26" s="23">
        <f t="shared" si="0"/>
        <v>46127</v>
      </c>
      <c r="B26" s="24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</row>
    <row r="27" spans="1:67" ht="15.75" x14ac:dyDescent="0.2">
      <c r="A27" s="23">
        <f t="shared" si="0"/>
        <v>46128</v>
      </c>
      <c r="B27" s="24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</row>
    <row r="28" spans="1:67" ht="15.75" x14ac:dyDescent="0.2">
      <c r="A28" s="23">
        <f t="shared" si="0"/>
        <v>46129</v>
      </c>
      <c r="B28" s="24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</row>
    <row r="29" spans="1:67" ht="15.75" x14ac:dyDescent="0.2">
      <c r="A29" s="23">
        <f t="shared" si="0"/>
        <v>46130</v>
      </c>
      <c r="B29" s="24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</row>
    <row r="30" spans="1:67" ht="15.75" x14ac:dyDescent="0.2">
      <c r="A30" s="23">
        <f t="shared" si="0"/>
        <v>46131</v>
      </c>
      <c r="B30" s="24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</row>
    <row r="31" spans="1:67" ht="15.75" x14ac:dyDescent="0.2">
      <c r="A31" s="23">
        <f t="shared" si="0"/>
        <v>46132</v>
      </c>
      <c r="B31" s="24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</row>
    <row r="32" spans="1:67" ht="15.75" x14ac:dyDescent="0.2">
      <c r="A32" s="23">
        <f t="shared" si="0"/>
        <v>46133</v>
      </c>
      <c r="B32" s="24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</row>
    <row r="33" spans="1:67" ht="15.75" x14ac:dyDescent="0.2">
      <c r="A33" s="23">
        <f t="shared" si="0"/>
        <v>46134</v>
      </c>
      <c r="B33" s="24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19"/>
      <c r="BN33" s="19"/>
      <c r="BO33" s="19"/>
    </row>
    <row r="34" spans="1:67" ht="15.75" x14ac:dyDescent="0.2">
      <c r="A34" s="23">
        <f>A33+1</f>
        <v>46135</v>
      </c>
      <c r="B34" s="24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/>
      <c r="BG34" s="19"/>
      <c r="BH34" s="19"/>
      <c r="BI34" s="19"/>
      <c r="BJ34" s="19"/>
      <c r="BK34" s="19"/>
      <c r="BL34" s="19"/>
      <c r="BM34" s="19"/>
      <c r="BN34" s="19"/>
      <c r="BO34" s="19"/>
    </row>
    <row r="35" spans="1:67" ht="15.75" x14ac:dyDescent="0.2">
      <c r="A35" s="23">
        <f t="shared" si="0"/>
        <v>46136</v>
      </c>
      <c r="B35" s="24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/>
      <c r="BG35" s="19"/>
      <c r="BH35" s="19"/>
      <c r="BI35" s="19"/>
      <c r="BJ35" s="19"/>
      <c r="BK35" s="19"/>
      <c r="BL35" s="19"/>
      <c r="BM35" s="19"/>
      <c r="BN35" s="19"/>
      <c r="BO35" s="19"/>
    </row>
    <row r="36" spans="1:67" ht="15.75" x14ac:dyDescent="0.2">
      <c r="A36" s="23">
        <f t="shared" si="0"/>
        <v>46137</v>
      </c>
      <c r="B36" s="24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19"/>
      <c r="BJ36" s="19"/>
      <c r="BK36" s="19"/>
      <c r="BL36" s="19"/>
      <c r="BM36" s="19"/>
      <c r="BN36" s="19"/>
      <c r="BO36" s="19"/>
    </row>
    <row r="37" spans="1:67" ht="15.75" x14ac:dyDescent="0.2">
      <c r="A37" s="23">
        <f t="shared" si="0"/>
        <v>46138</v>
      </c>
      <c r="B37" s="24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19"/>
      <c r="BJ37" s="19"/>
      <c r="BK37" s="19"/>
      <c r="BL37" s="19"/>
      <c r="BM37" s="19"/>
      <c r="BN37" s="19"/>
      <c r="BO37" s="19"/>
    </row>
    <row r="38" spans="1:67" ht="15.75" x14ac:dyDescent="0.2">
      <c r="A38" s="23">
        <f t="shared" si="0"/>
        <v>46139</v>
      </c>
      <c r="B38" s="24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/>
      <c r="BG38" s="19"/>
      <c r="BH38" s="19"/>
      <c r="BI38" s="19"/>
      <c r="BJ38" s="19"/>
      <c r="BK38" s="19"/>
      <c r="BL38" s="19"/>
      <c r="BM38" s="19"/>
      <c r="BN38" s="19"/>
      <c r="BO38" s="19"/>
    </row>
    <row r="39" spans="1:67" ht="15.75" x14ac:dyDescent="0.2">
      <c r="A39" s="23">
        <f t="shared" si="0"/>
        <v>46140</v>
      </c>
      <c r="B39" s="24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/>
      <c r="BG39" s="19"/>
      <c r="BH39" s="19"/>
      <c r="BI39" s="19"/>
      <c r="BJ39" s="19"/>
      <c r="BK39" s="19"/>
      <c r="BL39" s="19"/>
      <c r="BM39" s="19"/>
      <c r="BN39" s="19"/>
      <c r="BO39" s="19"/>
    </row>
    <row r="40" spans="1:67" ht="15.75" x14ac:dyDescent="0.2">
      <c r="A40" s="23">
        <f>IF(A39="","",IF(A39=EOMONTH(DATE($N$6,$K$6,1),0),"",A39+1))</f>
        <v>46141</v>
      </c>
      <c r="B40" s="24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/>
      <c r="BG40" s="19"/>
      <c r="BH40" s="19"/>
      <c r="BI40" s="19"/>
      <c r="BJ40" s="19"/>
      <c r="BK40" s="19"/>
      <c r="BL40" s="19"/>
      <c r="BM40" s="19"/>
      <c r="BN40" s="19"/>
      <c r="BO40" s="19"/>
    </row>
    <row r="41" spans="1:67" ht="15.75" x14ac:dyDescent="0.2">
      <c r="A41" s="23">
        <f>IF(A40="","",IF(A40=EOMONTH(DATE($N$6,$K$6,1),0),"",A40+1))</f>
        <v>46142</v>
      </c>
      <c r="B41" s="24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/>
      <c r="BG41" s="19"/>
      <c r="BH41" s="19"/>
      <c r="BI41" s="19"/>
      <c r="BJ41" s="19"/>
      <c r="BK41" s="19"/>
      <c r="BL41" s="19"/>
      <c r="BM41" s="19"/>
      <c r="BN41" s="19"/>
      <c r="BO41" s="19"/>
    </row>
    <row r="42" spans="1:67" ht="15.75" x14ac:dyDescent="0.2">
      <c r="A42" s="23" t="str">
        <f>IF(A41="","",IF(A41=EOMONTH(DATE($N$6,$K$6,1),0),"",A41+1))</f>
        <v/>
      </c>
      <c r="B42" s="24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/>
      <c r="BG42" s="19"/>
      <c r="BH42" s="19"/>
      <c r="BI42" s="19"/>
      <c r="BJ42" s="19"/>
      <c r="BK42" s="19"/>
      <c r="BL42" s="19"/>
      <c r="BM42" s="19"/>
      <c r="BN42" s="19"/>
      <c r="BO42" s="19"/>
    </row>
    <row r="43" spans="1:67" ht="13.5" x14ac:dyDescent="0.25">
      <c r="A43" s="21" t="s">
        <v>205</v>
      </c>
      <c r="B43" s="25" t="s">
        <v>206</v>
      </c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</row>
    <row r="44" spans="1:67" x14ac:dyDescent="0.2">
      <c r="A44" s="22"/>
      <c r="B44" s="22" t="s">
        <v>207</v>
      </c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 t="s">
        <v>208</v>
      </c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</row>
  </sheetData>
  <mergeCells count="45">
    <mergeCell ref="A1:A3"/>
    <mergeCell ref="B1:M3"/>
    <mergeCell ref="N1:BO1"/>
    <mergeCell ref="N2:P2"/>
    <mergeCell ref="Q2:BN2"/>
    <mergeCell ref="N3:P3"/>
    <mergeCell ref="Q3:BN3"/>
    <mergeCell ref="A4:BO4"/>
    <mergeCell ref="A5:BO5"/>
    <mergeCell ref="N6:O6"/>
    <mergeCell ref="A8:A11"/>
    <mergeCell ref="B8:P8"/>
    <mergeCell ref="BO8:BO11"/>
    <mergeCell ref="A23:B23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35:B35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42:B42"/>
    <mergeCell ref="B43:N43"/>
    <mergeCell ref="A36:B36"/>
    <mergeCell ref="A37:B37"/>
    <mergeCell ref="A38:B38"/>
    <mergeCell ref="A39:B39"/>
    <mergeCell ref="A40:B40"/>
    <mergeCell ref="A41:B41"/>
  </mergeCells>
  <conditionalFormatting sqref="AR10">
    <cfRule type="duplicateValues" dxfId="17" priority="2"/>
  </conditionalFormatting>
  <conditionalFormatting sqref="AS10">
    <cfRule type="duplicateValues" dxfId="16" priority="1"/>
  </conditionalFormatting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43" r:id="rId3" name="Spinner 3">
              <controlPr defaultSize="0" autoPict="0">
                <anchor moveWithCells="1" sizeWithCells="1">
                  <from>
                    <xdr:col>11</xdr:col>
                    <xdr:colOff>19050</xdr:colOff>
                    <xdr:row>4</xdr:row>
                    <xdr:rowOff>123825</xdr:rowOff>
                  </from>
                  <to>
                    <xdr:col>11</xdr:col>
                    <xdr:colOff>342900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4" r:id="rId4" name="Spinner 4">
              <controlPr defaultSize="0" autoPict="0">
                <anchor moveWithCells="1" sizeWithCells="1">
                  <from>
                    <xdr:col>15</xdr:col>
                    <xdr:colOff>0</xdr:colOff>
                    <xdr:row>4</xdr:row>
                    <xdr:rowOff>123825</xdr:rowOff>
                  </from>
                  <to>
                    <xdr:col>15</xdr:col>
                    <xdr:colOff>323850</xdr:colOff>
                    <xdr:row>6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O44"/>
  <sheetViews>
    <sheetView zoomScale="70" zoomScaleNormal="70" workbookViewId="0">
      <selection activeCell="G33" sqref="G33"/>
    </sheetView>
  </sheetViews>
  <sheetFormatPr defaultRowHeight="12.75" x14ac:dyDescent="0.2"/>
  <cols>
    <col min="1" max="2" width="23.5" bestFit="1" customWidth="1"/>
    <col min="3" max="3" width="31.6640625" bestFit="1" customWidth="1"/>
    <col min="4" max="4" width="47" bestFit="1" customWidth="1"/>
    <col min="5" max="5" width="40.6640625" bestFit="1" customWidth="1"/>
    <col min="6" max="6" width="32.83203125" bestFit="1" customWidth="1"/>
    <col min="7" max="7" width="32" bestFit="1" customWidth="1"/>
    <col min="8" max="13" width="32.5" bestFit="1" customWidth="1"/>
    <col min="14" max="14" width="34.5" bestFit="1" customWidth="1"/>
    <col min="15" max="15" width="34.1640625" bestFit="1" customWidth="1"/>
    <col min="16" max="16" width="33.6640625" bestFit="1" customWidth="1"/>
    <col min="17" max="17" width="25.6640625" bestFit="1" customWidth="1"/>
    <col min="18" max="19" width="25" bestFit="1" customWidth="1"/>
    <col min="20" max="20" width="35.1640625" bestFit="1" customWidth="1"/>
    <col min="21" max="22" width="37.5" bestFit="1" customWidth="1"/>
    <col min="23" max="23" width="42.5" bestFit="1" customWidth="1"/>
    <col min="24" max="25" width="41.83203125" bestFit="1" customWidth="1"/>
    <col min="26" max="26" width="39.6640625" bestFit="1" customWidth="1"/>
    <col min="27" max="27" width="39" bestFit="1" customWidth="1"/>
    <col min="28" max="34" width="40.1640625" bestFit="1" customWidth="1"/>
    <col min="35" max="35" width="39.6640625" bestFit="1" customWidth="1"/>
    <col min="36" max="36" width="28.5" bestFit="1" customWidth="1"/>
    <col min="37" max="38" width="47.83203125" bestFit="1" customWidth="1"/>
    <col min="39" max="39" width="49" bestFit="1" customWidth="1"/>
    <col min="40" max="40" width="49.5" bestFit="1" customWidth="1"/>
    <col min="41" max="41" width="46.33203125" bestFit="1" customWidth="1"/>
    <col min="42" max="42" width="46.6640625" bestFit="1" customWidth="1"/>
    <col min="43" max="43" width="34" bestFit="1" customWidth="1"/>
    <col min="44" max="45" width="26.6640625" bestFit="1" customWidth="1"/>
    <col min="46" max="47" width="30.33203125" bestFit="1" customWidth="1"/>
    <col min="48" max="48" width="35.83203125" bestFit="1" customWidth="1"/>
    <col min="49" max="49" width="37" bestFit="1" customWidth="1"/>
    <col min="50" max="50" width="33.33203125" bestFit="1" customWidth="1"/>
    <col min="51" max="51" width="34.1640625" bestFit="1" customWidth="1"/>
    <col min="52" max="52" width="33.5" bestFit="1" customWidth="1"/>
    <col min="53" max="54" width="36.6640625" bestFit="1" customWidth="1"/>
    <col min="55" max="56" width="43.33203125" bestFit="1" customWidth="1"/>
    <col min="57" max="57" width="41.6640625" bestFit="1" customWidth="1"/>
    <col min="58" max="58" width="44.1640625" bestFit="1" customWidth="1"/>
    <col min="59" max="59" width="32" bestFit="1" customWidth="1"/>
    <col min="60" max="60" width="39.1640625" bestFit="1" customWidth="1"/>
    <col min="61" max="61" width="35.6640625" bestFit="1" customWidth="1"/>
    <col min="62" max="62" width="30.6640625" bestFit="1" customWidth="1"/>
    <col min="63" max="63" width="44" bestFit="1" customWidth="1"/>
    <col min="64" max="64" width="39" bestFit="1" customWidth="1"/>
    <col min="65" max="66" width="6.83203125" bestFit="1" customWidth="1"/>
    <col min="67" max="67" width="14.6640625" bestFit="1" customWidth="1"/>
  </cols>
  <sheetData>
    <row r="1" spans="1:67" x14ac:dyDescent="0.2">
      <c r="A1" s="39" t="s">
        <v>0</v>
      </c>
      <c r="B1" s="40" t="s">
        <v>1</v>
      </c>
      <c r="C1" s="41"/>
      <c r="D1" s="41"/>
      <c r="E1" s="41"/>
      <c r="F1" s="41"/>
      <c r="G1" s="41"/>
      <c r="H1" s="41"/>
      <c r="I1" s="41"/>
      <c r="J1" s="41"/>
      <c r="K1" s="41"/>
      <c r="L1" s="41"/>
      <c r="M1" s="42"/>
      <c r="N1" s="49" t="s">
        <v>2</v>
      </c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  <c r="AJ1" s="50"/>
      <c r="AK1" s="50"/>
      <c r="AL1" s="50"/>
      <c r="AM1" s="50"/>
      <c r="AN1" s="50"/>
      <c r="AO1" s="50"/>
      <c r="AP1" s="50"/>
      <c r="AQ1" s="50"/>
      <c r="AR1" s="50"/>
      <c r="AS1" s="50"/>
      <c r="AT1" s="50"/>
      <c r="AU1" s="50"/>
      <c r="AV1" s="50"/>
      <c r="AW1" s="50"/>
      <c r="AX1" s="50"/>
      <c r="AY1" s="50"/>
      <c r="AZ1" s="50"/>
      <c r="BA1" s="50"/>
      <c r="BB1" s="50"/>
      <c r="BC1" s="50"/>
      <c r="BD1" s="50"/>
      <c r="BE1" s="50"/>
      <c r="BF1" s="50"/>
      <c r="BG1" s="50"/>
      <c r="BH1" s="50"/>
      <c r="BI1" s="50"/>
      <c r="BJ1" s="50"/>
      <c r="BK1" s="50"/>
      <c r="BL1" s="50"/>
      <c r="BM1" s="50"/>
      <c r="BN1" s="50"/>
      <c r="BO1" s="51"/>
    </row>
    <row r="2" spans="1:67" x14ac:dyDescent="0.2">
      <c r="A2" s="39"/>
      <c r="B2" s="43"/>
      <c r="C2" s="44"/>
      <c r="D2" s="44"/>
      <c r="E2" s="44"/>
      <c r="F2" s="44"/>
      <c r="G2" s="44"/>
      <c r="H2" s="44"/>
      <c r="I2" s="44"/>
      <c r="J2" s="44"/>
      <c r="K2" s="44"/>
      <c r="L2" s="44"/>
      <c r="M2" s="45"/>
      <c r="N2" s="49" t="s">
        <v>3</v>
      </c>
      <c r="O2" s="50"/>
      <c r="P2" s="51"/>
      <c r="Q2" s="49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50"/>
      <c r="AO2" s="50"/>
      <c r="AP2" s="50"/>
      <c r="AQ2" s="50"/>
      <c r="AR2" s="50"/>
      <c r="AS2" s="50"/>
      <c r="AT2" s="50"/>
      <c r="AU2" s="50"/>
      <c r="AV2" s="50"/>
      <c r="AW2" s="50"/>
      <c r="AX2" s="50"/>
      <c r="AY2" s="50"/>
      <c r="AZ2" s="50"/>
      <c r="BA2" s="50"/>
      <c r="BB2" s="50"/>
      <c r="BC2" s="50"/>
      <c r="BD2" s="50"/>
      <c r="BE2" s="50"/>
      <c r="BF2" s="50"/>
      <c r="BG2" s="50"/>
      <c r="BH2" s="50"/>
      <c r="BI2" s="50"/>
      <c r="BJ2" s="50"/>
      <c r="BK2" s="50"/>
      <c r="BL2" s="50"/>
      <c r="BM2" s="50"/>
      <c r="BN2" s="51"/>
      <c r="BO2" s="1" t="s">
        <v>4</v>
      </c>
    </row>
    <row r="3" spans="1:67" x14ac:dyDescent="0.2">
      <c r="A3" s="39"/>
      <c r="B3" s="46"/>
      <c r="C3" s="47"/>
      <c r="D3" s="47"/>
      <c r="E3" s="47"/>
      <c r="F3" s="47"/>
      <c r="G3" s="47"/>
      <c r="H3" s="47"/>
      <c r="I3" s="47"/>
      <c r="J3" s="47"/>
      <c r="K3" s="47"/>
      <c r="L3" s="47"/>
      <c r="M3" s="48"/>
      <c r="N3" s="49" t="s">
        <v>5</v>
      </c>
      <c r="O3" s="50"/>
      <c r="P3" s="51"/>
      <c r="Q3" s="49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/>
      <c r="AS3" s="50"/>
      <c r="AT3" s="50"/>
      <c r="AU3" s="50"/>
      <c r="AV3" s="50"/>
      <c r="AW3" s="50"/>
      <c r="AX3" s="50"/>
      <c r="AY3" s="50"/>
      <c r="AZ3" s="50"/>
      <c r="BA3" s="50"/>
      <c r="BB3" s="50"/>
      <c r="BC3" s="50"/>
      <c r="BD3" s="50"/>
      <c r="BE3" s="50"/>
      <c r="BF3" s="50"/>
      <c r="BG3" s="50"/>
      <c r="BH3" s="50"/>
      <c r="BI3" s="50"/>
      <c r="BJ3" s="50"/>
      <c r="BK3" s="50"/>
      <c r="BL3" s="50"/>
      <c r="BM3" s="50"/>
      <c r="BN3" s="51"/>
      <c r="BO3" s="1" t="s">
        <v>6</v>
      </c>
    </row>
    <row r="4" spans="1:67" x14ac:dyDescent="0.2">
      <c r="A4" s="26" t="s">
        <v>7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8"/>
    </row>
    <row r="5" spans="1:67" ht="18.75" x14ac:dyDescent="0.2">
      <c r="A5" s="29"/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</row>
    <row r="6" spans="1:67" ht="15.75" x14ac:dyDescent="0.25">
      <c r="A6" s="2" t="s">
        <v>8</v>
      </c>
      <c r="B6" s="3"/>
      <c r="C6" s="3"/>
      <c r="D6" s="3"/>
      <c r="E6" s="3"/>
      <c r="F6" s="3"/>
      <c r="G6" s="3"/>
      <c r="H6" s="3"/>
      <c r="I6" s="3"/>
      <c r="J6" s="3" t="s">
        <v>9</v>
      </c>
      <c r="K6" s="3">
        <v>5</v>
      </c>
      <c r="L6" s="3"/>
      <c r="M6" s="3" t="s">
        <v>10</v>
      </c>
      <c r="N6" s="30">
        <v>2026</v>
      </c>
      <c r="O6" s="30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</row>
    <row r="7" spans="1:67" ht="15.7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</row>
    <row r="8" spans="1:67" ht="15.75" x14ac:dyDescent="0.25">
      <c r="A8" s="31" t="s">
        <v>11</v>
      </c>
      <c r="B8" s="33" t="s">
        <v>12</v>
      </c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5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36" t="s">
        <v>13</v>
      </c>
    </row>
    <row r="9" spans="1:67" x14ac:dyDescent="0.2">
      <c r="A9" s="31"/>
      <c r="B9" s="5" t="s">
        <v>14</v>
      </c>
      <c r="C9" s="5" t="s">
        <v>15</v>
      </c>
      <c r="D9" s="5" t="s">
        <v>16</v>
      </c>
      <c r="E9" s="5" t="s">
        <v>17</v>
      </c>
      <c r="F9" s="5" t="s">
        <v>18</v>
      </c>
      <c r="G9" s="5" t="s">
        <v>19</v>
      </c>
      <c r="H9" s="5" t="s">
        <v>20</v>
      </c>
      <c r="I9" s="5" t="s">
        <v>21</v>
      </c>
      <c r="J9" s="5" t="s">
        <v>22</v>
      </c>
      <c r="K9" s="5" t="s">
        <v>23</v>
      </c>
      <c r="L9" s="5" t="s">
        <v>24</v>
      </c>
      <c r="M9" s="5" t="s">
        <v>25</v>
      </c>
      <c r="N9" s="5" t="s">
        <v>26</v>
      </c>
      <c r="O9" s="5" t="s">
        <v>27</v>
      </c>
      <c r="P9" s="5" t="s">
        <v>28</v>
      </c>
      <c r="Q9" s="5" t="s">
        <v>29</v>
      </c>
      <c r="R9" s="5" t="s">
        <v>30</v>
      </c>
      <c r="S9" s="5" t="s">
        <v>31</v>
      </c>
      <c r="T9" s="5" t="s">
        <v>32</v>
      </c>
      <c r="U9" s="5" t="s">
        <v>33</v>
      </c>
      <c r="V9" s="5" t="s">
        <v>34</v>
      </c>
      <c r="W9" s="5" t="s">
        <v>35</v>
      </c>
      <c r="X9" s="5" t="s">
        <v>36</v>
      </c>
      <c r="Y9" s="5" t="s">
        <v>37</v>
      </c>
      <c r="Z9" s="5" t="s">
        <v>38</v>
      </c>
      <c r="AA9" s="5" t="s">
        <v>39</v>
      </c>
      <c r="AB9" s="5" t="s">
        <v>40</v>
      </c>
      <c r="AC9" s="5" t="s">
        <v>41</v>
      </c>
      <c r="AD9" s="5" t="s">
        <v>42</v>
      </c>
      <c r="AE9" s="5" t="s">
        <v>43</v>
      </c>
      <c r="AF9" s="5" t="s">
        <v>44</v>
      </c>
      <c r="AG9" s="5" t="s">
        <v>45</v>
      </c>
      <c r="AH9" s="5" t="s">
        <v>46</v>
      </c>
      <c r="AI9" s="5" t="s">
        <v>47</v>
      </c>
      <c r="AJ9" s="5" t="s">
        <v>48</v>
      </c>
      <c r="AK9" s="5" t="s">
        <v>49</v>
      </c>
      <c r="AL9" s="5" t="s">
        <v>50</v>
      </c>
      <c r="AM9" s="5" t="s">
        <v>51</v>
      </c>
      <c r="AN9" s="5" t="s">
        <v>52</v>
      </c>
      <c r="AO9" s="5" t="s">
        <v>53</v>
      </c>
      <c r="AP9" s="5" t="s">
        <v>54</v>
      </c>
      <c r="AQ9" s="5" t="s">
        <v>55</v>
      </c>
      <c r="AR9" s="5" t="s">
        <v>56</v>
      </c>
      <c r="AS9" s="5" t="s">
        <v>57</v>
      </c>
      <c r="AT9" s="5" t="s">
        <v>58</v>
      </c>
      <c r="AU9" s="5" t="s">
        <v>59</v>
      </c>
      <c r="AV9" s="5" t="s">
        <v>60</v>
      </c>
      <c r="AW9" s="5" t="s">
        <v>61</v>
      </c>
      <c r="AX9" s="5" t="s">
        <v>62</v>
      </c>
      <c r="AY9" s="5" t="s">
        <v>63</v>
      </c>
      <c r="AZ9" s="5" t="s">
        <v>64</v>
      </c>
      <c r="BA9" s="5" t="s">
        <v>65</v>
      </c>
      <c r="BB9" s="5" t="s">
        <v>66</v>
      </c>
      <c r="BC9" s="5" t="s">
        <v>67</v>
      </c>
      <c r="BD9" s="5" t="s">
        <v>68</v>
      </c>
      <c r="BE9" s="5" t="s">
        <v>69</v>
      </c>
      <c r="BF9" s="5" t="s">
        <v>70</v>
      </c>
      <c r="BG9" s="5" t="s">
        <v>71</v>
      </c>
      <c r="BH9" s="5" t="s">
        <v>72</v>
      </c>
      <c r="BI9" s="5" t="s">
        <v>73</v>
      </c>
      <c r="BJ9" s="5" t="s">
        <v>74</v>
      </c>
      <c r="BK9" s="5" t="s">
        <v>75</v>
      </c>
      <c r="BL9" s="5" t="s">
        <v>76</v>
      </c>
      <c r="BM9" s="5" t="s">
        <v>77</v>
      </c>
      <c r="BN9" s="5" t="s">
        <v>78</v>
      </c>
      <c r="BO9" s="37"/>
    </row>
    <row r="10" spans="1:67" ht="30" x14ac:dyDescent="0.25">
      <c r="A10" s="31"/>
      <c r="B10" s="6" t="s">
        <v>79</v>
      </c>
      <c r="C10" s="7" t="s">
        <v>80</v>
      </c>
      <c r="D10" s="8" t="s">
        <v>81</v>
      </c>
      <c r="E10" s="7" t="s">
        <v>82</v>
      </c>
      <c r="F10" s="7" t="s">
        <v>83</v>
      </c>
      <c r="G10" s="7" t="s">
        <v>84</v>
      </c>
      <c r="H10" s="7" t="s">
        <v>85</v>
      </c>
      <c r="I10" s="7" t="s">
        <v>86</v>
      </c>
      <c r="J10" s="7" t="s">
        <v>87</v>
      </c>
      <c r="K10" s="7" t="s">
        <v>88</v>
      </c>
      <c r="L10" s="7" t="s">
        <v>89</v>
      </c>
      <c r="M10" s="7" t="s">
        <v>90</v>
      </c>
      <c r="N10" s="7" t="s">
        <v>91</v>
      </c>
      <c r="O10" s="7" t="s">
        <v>92</v>
      </c>
      <c r="P10" s="7" t="s">
        <v>93</v>
      </c>
      <c r="Q10" s="7" t="s">
        <v>94</v>
      </c>
      <c r="R10" s="7" t="s">
        <v>95</v>
      </c>
      <c r="S10" s="7" t="s">
        <v>96</v>
      </c>
      <c r="T10" s="7" t="s">
        <v>97</v>
      </c>
      <c r="U10" s="8" t="s">
        <v>98</v>
      </c>
      <c r="V10" s="8" t="s">
        <v>99</v>
      </c>
      <c r="W10" s="7" t="s">
        <v>100</v>
      </c>
      <c r="X10" s="7" t="s">
        <v>101</v>
      </c>
      <c r="Y10" s="7" t="s">
        <v>102</v>
      </c>
      <c r="Z10" s="7" t="s">
        <v>103</v>
      </c>
      <c r="AA10" s="7" t="s">
        <v>104</v>
      </c>
      <c r="AB10" s="7" t="s">
        <v>105</v>
      </c>
      <c r="AC10" s="7" t="s">
        <v>106</v>
      </c>
      <c r="AD10" s="7" t="s">
        <v>107</v>
      </c>
      <c r="AE10" s="7" t="s">
        <v>108</v>
      </c>
      <c r="AF10" s="7" t="s">
        <v>109</v>
      </c>
      <c r="AG10" s="7" t="s">
        <v>110</v>
      </c>
      <c r="AH10" s="7" t="s">
        <v>111</v>
      </c>
      <c r="AI10" s="7" t="s">
        <v>112</v>
      </c>
      <c r="AJ10" s="7" t="s">
        <v>113</v>
      </c>
      <c r="AK10" s="8" t="s">
        <v>114</v>
      </c>
      <c r="AL10" s="8" t="s">
        <v>115</v>
      </c>
      <c r="AM10" s="8" t="s">
        <v>116</v>
      </c>
      <c r="AN10" s="8" t="s">
        <v>117</v>
      </c>
      <c r="AO10" s="8" t="s">
        <v>118</v>
      </c>
      <c r="AP10" s="8" t="s">
        <v>119</v>
      </c>
      <c r="AQ10" s="8" t="s">
        <v>120</v>
      </c>
      <c r="AR10" s="8" t="s">
        <v>121</v>
      </c>
      <c r="AS10" s="8" t="s">
        <v>122</v>
      </c>
      <c r="AT10" s="9" t="s">
        <v>123</v>
      </c>
      <c r="AU10" s="9" t="s">
        <v>124</v>
      </c>
      <c r="AV10" s="9" t="s">
        <v>125</v>
      </c>
      <c r="AW10" s="9" t="s">
        <v>126</v>
      </c>
      <c r="AX10" s="9" t="s">
        <v>127</v>
      </c>
      <c r="AY10" s="10" t="s">
        <v>128</v>
      </c>
      <c r="AZ10" s="11" t="s">
        <v>129</v>
      </c>
      <c r="BA10" s="11" t="s">
        <v>130</v>
      </c>
      <c r="BB10" s="11" t="s">
        <v>131</v>
      </c>
      <c r="BC10" s="11" t="s">
        <v>132</v>
      </c>
      <c r="BD10" s="11" t="s">
        <v>133</v>
      </c>
      <c r="BE10" s="12" t="s">
        <v>134</v>
      </c>
      <c r="BF10" s="9" t="s">
        <v>135</v>
      </c>
      <c r="BG10" s="9" t="s">
        <v>136</v>
      </c>
      <c r="BH10" s="9" t="s">
        <v>137</v>
      </c>
      <c r="BI10" s="9" t="s">
        <v>138</v>
      </c>
      <c r="BJ10" s="9" t="s">
        <v>139</v>
      </c>
      <c r="BK10" s="9" t="s">
        <v>140</v>
      </c>
      <c r="BL10" s="9" t="s">
        <v>141</v>
      </c>
      <c r="BM10" s="12"/>
      <c r="BN10" s="12"/>
      <c r="BO10" s="37"/>
    </row>
    <row r="11" spans="1:67" ht="15" x14ac:dyDescent="0.25">
      <c r="A11" s="32"/>
      <c r="B11" s="6" t="s">
        <v>142</v>
      </c>
      <c r="C11" s="13" t="s">
        <v>143</v>
      </c>
      <c r="D11" s="11" t="s">
        <v>144</v>
      </c>
      <c r="E11" s="14" t="s">
        <v>145</v>
      </c>
      <c r="F11" s="7" t="s">
        <v>146</v>
      </c>
      <c r="G11" s="7" t="s">
        <v>147</v>
      </c>
      <c r="H11" s="7" t="s">
        <v>148</v>
      </c>
      <c r="I11" s="7" t="s">
        <v>149</v>
      </c>
      <c r="J11" s="7" t="s">
        <v>150</v>
      </c>
      <c r="K11" s="7" t="s">
        <v>151</v>
      </c>
      <c r="L11" s="7" t="s">
        <v>152</v>
      </c>
      <c r="M11" s="7" t="s">
        <v>153</v>
      </c>
      <c r="N11" s="7" t="s">
        <v>154</v>
      </c>
      <c r="O11" s="7" t="s">
        <v>155</v>
      </c>
      <c r="P11" s="7" t="s">
        <v>156</v>
      </c>
      <c r="Q11" s="7" t="s">
        <v>157</v>
      </c>
      <c r="R11" s="7" t="s">
        <v>158</v>
      </c>
      <c r="S11" s="7" t="s">
        <v>159</v>
      </c>
      <c r="T11" s="7" t="s">
        <v>160</v>
      </c>
      <c r="U11" s="15" t="s">
        <v>161</v>
      </c>
      <c r="V11" s="15" t="s">
        <v>162</v>
      </c>
      <c r="W11" s="7" t="s">
        <v>163</v>
      </c>
      <c r="X11" s="7" t="s">
        <v>164</v>
      </c>
      <c r="Y11" s="7" t="s">
        <v>165</v>
      </c>
      <c r="Z11" s="7" t="s">
        <v>166</v>
      </c>
      <c r="AA11" s="7" t="s">
        <v>167</v>
      </c>
      <c r="AB11" s="7" t="s">
        <v>168</v>
      </c>
      <c r="AC11" s="7" t="s">
        <v>169</v>
      </c>
      <c r="AD11" s="7" t="s">
        <v>170</v>
      </c>
      <c r="AE11" s="7" t="s">
        <v>171</v>
      </c>
      <c r="AF11" s="7" t="s">
        <v>172</v>
      </c>
      <c r="AG11" s="7" t="s">
        <v>173</v>
      </c>
      <c r="AH11" s="7" t="s">
        <v>174</v>
      </c>
      <c r="AI11" s="7" t="s">
        <v>175</v>
      </c>
      <c r="AJ11" s="7" t="s">
        <v>176</v>
      </c>
      <c r="AK11" s="16" t="s">
        <v>177</v>
      </c>
      <c r="AL11" s="16" t="s">
        <v>178</v>
      </c>
      <c r="AM11" s="16" t="s">
        <v>179</v>
      </c>
      <c r="AN11" s="16" t="s">
        <v>180</v>
      </c>
      <c r="AO11" s="16" t="s">
        <v>181</v>
      </c>
      <c r="AP11" s="16" t="s">
        <v>182</v>
      </c>
      <c r="AQ11" s="17" t="s">
        <v>183</v>
      </c>
      <c r="AR11" s="17" t="s">
        <v>184</v>
      </c>
      <c r="AS11" s="17" t="s">
        <v>185</v>
      </c>
      <c r="AT11" s="17" t="s">
        <v>186</v>
      </c>
      <c r="AU11" s="17" t="s">
        <v>187</v>
      </c>
      <c r="AV11" s="17" t="s">
        <v>188</v>
      </c>
      <c r="AW11" s="17" t="s">
        <v>189</v>
      </c>
      <c r="AX11" s="17" t="s">
        <v>190</v>
      </c>
      <c r="AY11" s="16" t="s">
        <v>191</v>
      </c>
      <c r="AZ11" s="16" t="s">
        <v>192</v>
      </c>
      <c r="BA11" s="16" t="s">
        <v>193</v>
      </c>
      <c r="BB11" s="16" t="s">
        <v>194</v>
      </c>
      <c r="BC11" s="16" t="s">
        <v>195</v>
      </c>
      <c r="BD11" s="16" t="s">
        <v>196</v>
      </c>
      <c r="BE11" s="16" t="s">
        <v>197</v>
      </c>
      <c r="BF11" s="16" t="s">
        <v>198</v>
      </c>
      <c r="BG11" s="16" t="s">
        <v>199</v>
      </c>
      <c r="BH11" s="16" t="s">
        <v>200</v>
      </c>
      <c r="BI11" s="16" t="s">
        <v>201</v>
      </c>
      <c r="BJ11" s="16" t="s">
        <v>202</v>
      </c>
      <c r="BK11" s="16" t="s">
        <v>203</v>
      </c>
      <c r="BL11" s="16" t="s">
        <v>204</v>
      </c>
      <c r="BM11" s="16"/>
      <c r="BN11" s="18"/>
      <c r="BO11" s="38"/>
    </row>
    <row r="12" spans="1:67" ht="15.75" x14ac:dyDescent="0.2">
      <c r="A12" s="23">
        <f>DATE(N6,K6,1)</f>
        <v>46143</v>
      </c>
      <c r="B12" s="24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20"/>
      <c r="BJ12" s="20"/>
      <c r="BK12" s="20"/>
      <c r="BL12" s="20"/>
      <c r="BM12" s="20"/>
      <c r="BN12" s="20"/>
      <c r="BO12" s="19"/>
    </row>
    <row r="13" spans="1:67" ht="15.75" x14ac:dyDescent="0.2">
      <c r="A13" s="23">
        <f>A12+1</f>
        <v>46144</v>
      </c>
      <c r="B13" s="24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</row>
    <row r="14" spans="1:67" ht="15.75" x14ac:dyDescent="0.2">
      <c r="A14" s="23">
        <f t="shared" ref="A14:A39" si="0">A13+1</f>
        <v>46145</v>
      </c>
      <c r="B14" s="24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</row>
    <row r="15" spans="1:67" ht="15.75" x14ac:dyDescent="0.2">
      <c r="A15" s="23">
        <f t="shared" si="0"/>
        <v>46146</v>
      </c>
      <c r="B15" s="24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</row>
    <row r="16" spans="1:67" ht="15.75" x14ac:dyDescent="0.2">
      <c r="A16" s="23">
        <f t="shared" si="0"/>
        <v>46147</v>
      </c>
      <c r="B16" s="24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</row>
    <row r="17" spans="1:67" ht="15.75" x14ac:dyDescent="0.2">
      <c r="A17" s="23">
        <f t="shared" si="0"/>
        <v>46148</v>
      </c>
      <c r="B17" s="24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</row>
    <row r="18" spans="1:67" ht="15.75" x14ac:dyDescent="0.2">
      <c r="A18" s="23">
        <f t="shared" si="0"/>
        <v>46149</v>
      </c>
      <c r="B18" s="24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</row>
    <row r="19" spans="1:67" ht="15.75" x14ac:dyDescent="0.2">
      <c r="A19" s="23">
        <f t="shared" si="0"/>
        <v>46150</v>
      </c>
      <c r="B19" s="24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</row>
    <row r="20" spans="1:67" ht="15.75" x14ac:dyDescent="0.2">
      <c r="A20" s="23">
        <f t="shared" si="0"/>
        <v>46151</v>
      </c>
      <c r="B20" s="24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</row>
    <row r="21" spans="1:67" ht="15.75" x14ac:dyDescent="0.2">
      <c r="A21" s="23">
        <f t="shared" si="0"/>
        <v>46152</v>
      </c>
      <c r="B21" s="24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  <c r="BO21" s="19"/>
    </row>
    <row r="22" spans="1:67" ht="15.75" x14ac:dyDescent="0.2">
      <c r="A22" s="23">
        <f t="shared" si="0"/>
        <v>46153</v>
      </c>
      <c r="B22" s="24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</row>
    <row r="23" spans="1:67" ht="15.75" x14ac:dyDescent="0.2">
      <c r="A23" s="23">
        <f t="shared" si="0"/>
        <v>46154</v>
      </c>
      <c r="B23" s="24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</row>
    <row r="24" spans="1:67" ht="15.75" x14ac:dyDescent="0.2">
      <c r="A24" s="23">
        <f t="shared" si="0"/>
        <v>46155</v>
      </c>
      <c r="B24" s="24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</row>
    <row r="25" spans="1:67" ht="15.75" x14ac:dyDescent="0.2">
      <c r="A25" s="23">
        <f t="shared" si="0"/>
        <v>46156</v>
      </c>
      <c r="B25" s="24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/>
      <c r="BO25" s="19"/>
    </row>
    <row r="26" spans="1:67" ht="15.75" x14ac:dyDescent="0.2">
      <c r="A26" s="23">
        <f t="shared" si="0"/>
        <v>46157</v>
      </c>
      <c r="B26" s="24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</row>
    <row r="27" spans="1:67" ht="15.75" x14ac:dyDescent="0.2">
      <c r="A27" s="23">
        <f t="shared" si="0"/>
        <v>46158</v>
      </c>
      <c r="B27" s="24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</row>
    <row r="28" spans="1:67" ht="15.75" x14ac:dyDescent="0.2">
      <c r="A28" s="23">
        <f t="shared" si="0"/>
        <v>46159</v>
      </c>
      <c r="B28" s="24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</row>
    <row r="29" spans="1:67" ht="15.75" x14ac:dyDescent="0.2">
      <c r="A29" s="23">
        <f t="shared" si="0"/>
        <v>46160</v>
      </c>
      <c r="B29" s="24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</row>
    <row r="30" spans="1:67" ht="15.75" x14ac:dyDescent="0.2">
      <c r="A30" s="23">
        <f t="shared" si="0"/>
        <v>46161</v>
      </c>
      <c r="B30" s="24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</row>
    <row r="31" spans="1:67" ht="15.75" x14ac:dyDescent="0.2">
      <c r="A31" s="23">
        <f t="shared" si="0"/>
        <v>46162</v>
      </c>
      <c r="B31" s="24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</row>
    <row r="32" spans="1:67" ht="15.75" x14ac:dyDescent="0.2">
      <c r="A32" s="23">
        <f t="shared" si="0"/>
        <v>46163</v>
      </c>
      <c r="B32" s="24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</row>
    <row r="33" spans="1:67" ht="15.75" x14ac:dyDescent="0.2">
      <c r="A33" s="23">
        <f t="shared" si="0"/>
        <v>46164</v>
      </c>
      <c r="B33" s="24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19"/>
      <c r="BN33" s="19"/>
      <c r="BO33" s="19"/>
    </row>
    <row r="34" spans="1:67" ht="15.75" x14ac:dyDescent="0.2">
      <c r="A34" s="23">
        <f>A33+1</f>
        <v>46165</v>
      </c>
      <c r="B34" s="24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/>
      <c r="BG34" s="19"/>
      <c r="BH34" s="19"/>
      <c r="BI34" s="19"/>
      <c r="BJ34" s="19"/>
      <c r="BK34" s="19"/>
      <c r="BL34" s="19"/>
      <c r="BM34" s="19"/>
      <c r="BN34" s="19"/>
      <c r="BO34" s="19"/>
    </row>
    <row r="35" spans="1:67" ht="15.75" x14ac:dyDescent="0.2">
      <c r="A35" s="23">
        <f t="shared" si="0"/>
        <v>46166</v>
      </c>
      <c r="B35" s="24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/>
      <c r="BG35" s="19"/>
      <c r="BH35" s="19"/>
      <c r="BI35" s="19"/>
      <c r="BJ35" s="19"/>
      <c r="BK35" s="19"/>
      <c r="BL35" s="19"/>
      <c r="BM35" s="19"/>
      <c r="BN35" s="19"/>
      <c r="BO35" s="19"/>
    </row>
    <row r="36" spans="1:67" ht="15.75" x14ac:dyDescent="0.2">
      <c r="A36" s="23">
        <f t="shared" si="0"/>
        <v>46167</v>
      </c>
      <c r="B36" s="24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19"/>
      <c r="BJ36" s="19"/>
      <c r="BK36" s="19"/>
      <c r="BL36" s="19"/>
      <c r="BM36" s="19"/>
      <c r="BN36" s="19"/>
      <c r="BO36" s="19"/>
    </row>
    <row r="37" spans="1:67" ht="15.75" x14ac:dyDescent="0.2">
      <c r="A37" s="23">
        <f t="shared" si="0"/>
        <v>46168</v>
      </c>
      <c r="B37" s="24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19"/>
      <c r="BJ37" s="19"/>
      <c r="BK37" s="19"/>
      <c r="BL37" s="19"/>
      <c r="BM37" s="19"/>
      <c r="BN37" s="19"/>
      <c r="BO37" s="19"/>
    </row>
    <row r="38" spans="1:67" ht="15.75" x14ac:dyDescent="0.2">
      <c r="A38" s="23">
        <f t="shared" si="0"/>
        <v>46169</v>
      </c>
      <c r="B38" s="24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/>
      <c r="BG38" s="19"/>
      <c r="BH38" s="19"/>
      <c r="BI38" s="19"/>
      <c r="BJ38" s="19"/>
      <c r="BK38" s="19"/>
      <c r="BL38" s="19"/>
      <c r="BM38" s="19"/>
      <c r="BN38" s="19"/>
      <c r="BO38" s="19"/>
    </row>
    <row r="39" spans="1:67" ht="15.75" x14ac:dyDescent="0.2">
      <c r="A39" s="23">
        <f t="shared" si="0"/>
        <v>46170</v>
      </c>
      <c r="B39" s="24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/>
      <c r="BG39" s="19"/>
      <c r="BH39" s="19"/>
      <c r="BI39" s="19"/>
      <c r="BJ39" s="19"/>
      <c r="BK39" s="19"/>
      <c r="BL39" s="19"/>
      <c r="BM39" s="19"/>
      <c r="BN39" s="19"/>
      <c r="BO39" s="19"/>
    </row>
    <row r="40" spans="1:67" ht="15.75" x14ac:dyDescent="0.2">
      <c r="A40" s="23">
        <f>IF(A39="","",IF(A39=EOMONTH(DATE($N$6,$K$6,1),0),"",A39+1))</f>
        <v>46171</v>
      </c>
      <c r="B40" s="24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/>
      <c r="BG40" s="19"/>
      <c r="BH40" s="19"/>
      <c r="BI40" s="19"/>
      <c r="BJ40" s="19"/>
      <c r="BK40" s="19"/>
      <c r="BL40" s="19"/>
      <c r="BM40" s="19"/>
      <c r="BN40" s="19"/>
      <c r="BO40" s="19"/>
    </row>
    <row r="41" spans="1:67" ht="15.75" x14ac:dyDescent="0.2">
      <c r="A41" s="23">
        <f>IF(A40="","",IF(A40=EOMONTH(DATE($N$6,$K$6,1),0),"",A40+1))</f>
        <v>46172</v>
      </c>
      <c r="B41" s="24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/>
      <c r="BG41" s="19"/>
      <c r="BH41" s="19"/>
      <c r="BI41" s="19"/>
      <c r="BJ41" s="19"/>
      <c r="BK41" s="19"/>
      <c r="BL41" s="19"/>
      <c r="BM41" s="19"/>
      <c r="BN41" s="19"/>
      <c r="BO41" s="19"/>
    </row>
    <row r="42" spans="1:67" ht="15.75" x14ac:dyDescent="0.2">
      <c r="A42" s="23">
        <f>IF(A41="","",IF(A41=EOMONTH(DATE($N$6,$K$6,1),0),"",A41+1))</f>
        <v>46173</v>
      </c>
      <c r="B42" s="24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/>
      <c r="BG42" s="19"/>
      <c r="BH42" s="19"/>
      <c r="BI42" s="19"/>
      <c r="BJ42" s="19"/>
      <c r="BK42" s="19"/>
      <c r="BL42" s="19"/>
      <c r="BM42" s="19"/>
      <c r="BN42" s="19"/>
      <c r="BO42" s="19"/>
    </row>
    <row r="43" spans="1:67" ht="13.5" x14ac:dyDescent="0.25">
      <c r="A43" s="21" t="s">
        <v>205</v>
      </c>
      <c r="B43" s="25" t="s">
        <v>206</v>
      </c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</row>
    <row r="44" spans="1:67" x14ac:dyDescent="0.2">
      <c r="A44" s="22"/>
      <c r="B44" s="22" t="s">
        <v>207</v>
      </c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 t="s">
        <v>208</v>
      </c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</row>
  </sheetData>
  <mergeCells count="45">
    <mergeCell ref="A1:A3"/>
    <mergeCell ref="B1:M3"/>
    <mergeCell ref="N1:BO1"/>
    <mergeCell ref="N2:P2"/>
    <mergeCell ref="Q2:BN2"/>
    <mergeCell ref="N3:P3"/>
    <mergeCell ref="Q3:BN3"/>
    <mergeCell ref="A4:BO4"/>
    <mergeCell ref="A5:BO5"/>
    <mergeCell ref="N6:O6"/>
    <mergeCell ref="A8:A11"/>
    <mergeCell ref="B8:P8"/>
    <mergeCell ref="BO8:BO11"/>
    <mergeCell ref="A23:B23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35:B35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42:B42"/>
    <mergeCell ref="B43:N43"/>
    <mergeCell ref="A36:B36"/>
    <mergeCell ref="A37:B37"/>
    <mergeCell ref="A38:B38"/>
    <mergeCell ref="A39:B39"/>
    <mergeCell ref="A40:B40"/>
    <mergeCell ref="A41:B41"/>
  </mergeCells>
  <conditionalFormatting sqref="AR10">
    <cfRule type="duplicateValues" dxfId="15" priority="2"/>
  </conditionalFormatting>
  <conditionalFormatting sqref="AS10">
    <cfRule type="duplicateValues" dxfId="14" priority="1"/>
  </conditionalFormatting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9" r:id="rId3" name="Spinner 3">
              <controlPr defaultSize="0" autoPict="0">
                <anchor moveWithCells="1" sizeWithCells="1">
                  <from>
                    <xdr:col>11</xdr:col>
                    <xdr:colOff>19050</xdr:colOff>
                    <xdr:row>4</xdr:row>
                    <xdr:rowOff>123825</xdr:rowOff>
                  </from>
                  <to>
                    <xdr:col>11</xdr:col>
                    <xdr:colOff>342900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0" r:id="rId4" name="Spinner 4">
              <controlPr defaultSize="0" autoPict="0">
                <anchor moveWithCells="1" sizeWithCells="1">
                  <from>
                    <xdr:col>15</xdr:col>
                    <xdr:colOff>0</xdr:colOff>
                    <xdr:row>4</xdr:row>
                    <xdr:rowOff>123825</xdr:rowOff>
                  </from>
                  <to>
                    <xdr:col>15</xdr:col>
                    <xdr:colOff>323850</xdr:colOff>
                    <xdr:row>6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O44"/>
  <sheetViews>
    <sheetView zoomScale="70" zoomScaleNormal="70" workbookViewId="0">
      <selection activeCell="K25" sqref="K25"/>
    </sheetView>
  </sheetViews>
  <sheetFormatPr defaultRowHeight="12.75" x14ac:dyDescent="0.2"/>
  <cols>
    <col min="1" max="2" width="23.5" bestFit="1" customWidth="1"/>
    <col min="3" max="3" width="31.6640625" bestFit="1" customWidth="1"/>
    <col min="4" max="4" width="47" bestFit="1" customWidth="1"/>
    <col min="5" max="5" width="40.6640625" bestFit="1" customWidth="1"/>
    <col min="6" max="6" width="32.83203125" bestFit="1" customWidth="1"/>
    <col min="7" max="7" width="32" bestFit="1" customWidth="1"/>
    <col min="8" max="13" width="32.5" bestFit="1" customWidth="1"/>
    <col min="14" max="14" width="34.5" bestFit="1" customWidth="1"/>
    <col min="15" max="15" width="34.1640625" bestFit="1" customWidth="1"/>
    <col min="16" max="16" width="33.6640625" bestFit="1" customWidth="1"/>
    <col min="17" max="17" width="25.6640625" bestFit="1" customWidth="1"/>
    <col min="18" max="19" width="25" bestFit="1" customWidth="1"/>
    <col min="20" max="20" width="35.1640625" bestFit="1" customWidth="1"/>
    <col min="21" max="22" width="37.5" bestFit="1" customWidth="1"/>
    <col min="23" max="23" width="42.5" bestFit="1" customWidth="1"/>
    <col min="24" max="25" width="41.83203125" bestFit="1" customWidth="1"/>
    <col min="26" max="26" width="39.6640625" bestFit="1" customWidth="1"/>
    <col min="27" max="27" width="39" bestFit="1" customWidth="1"/>
    <col min="28" max="34" width="40.1640625" bestFit="1" customWidth="1"/>
    <col min="35" max="35" width="39.6640625" bestFit="1" customWidth="1"/>
    <col min="36" max="36" width="28.5" bestFit="1" customWidth="1"/>
    <col min="37" max="38" width="47.83203125" bestFit="1" customWidth="1"/>
    <col min="39" max="39" width="49" bestFit="1" customWidth="1"/>
    <col min="40" max="40" width="49.5" bestFit="1" customWidth="1"/>
    <col min="41" max="41" width="46.33203125" bestFit="1" customWidth="1"/>
    <col min="42" max="42" width="46.6640625" bestFit="1" customWidth="1"/>
    <col min="43" max="43" width="34" bestFit="1" customWidth="1"/>
    <col min="44" max="45" width="26.6640625" bestFit="1" customWidth="1"/>
    <col min="46" max="47" width="30.33203125" bestFit="1" customWidth="1"/>
    <col min="48" max="48" width="35.83203125" bestFit="1" customWidth="1"/>
    <col min="49" max="49" width="37" bestFit="1" customWidth="1"/>
    <col min="50" max="50" width="33.33203125" bestFit="1" customWidth="1"/>
    <col min="51" max="51" width="34.1640625" bestFit="1" customWidth="1"/>
    <col min="52" max="52" width="33.5" bestFit="1" customWidth="1"/>
    <col min="53" max="54" width="36.6640625" bestFit="1" customWidth="1"/>
    <col min="55" max="56" width="43.33203125" bestFit="1" customWidth="1"/>
    <col min="57" max="57" width="41.6640625" bestFit="1" customWidth="1"/>
    <col min="58" max="58" width="44.1640625" bestFit="1" customWidth="1"/>
    <col min="59" max="59" width="32" bestFit="1" customWidth="1"/>
    <col min="60" max="60" width="39.1640625" bestFit="1" customWidth="1"/>
    <col min="61" max="61" width="35.6640625" bestFit="1" customWidth="1"/>
    <col min="62" max="62" width="30.6640625" bestFit="1" customWidth="1"/>
    <col min="63" max="63" width="44" bestFit="1" customWidth="1"/>
    <col min="64" max="64" width="39" bestFit="1" customWidth="1"/>
    <col min="65" max="66" width="6.83203125" bestFit="1" customWidth="1"/>
    <col min="67" max="67" width="14.6640625" bestFit="1" customWidth="1"/>
  </cols>
  <sheetData>
    <row r="1" spans="1:67" ht="12.75" customHeight="1" x14ac:dyDescent="0.2">
      <c r="A1" s="39" t="s">
        <v>0</v>
      </c>
      <c r="B1" s="40" t="s">
        <v>1</v>
      </c>
      <c r="C1" s="41"/>
      <c r="D1" s="41"/>
      <c r="E1" s="41"/>
      <c r="F1" s="41"/>
      <c r="G1" s="41"/>
      <c r="H1" s="41"/>
      <c r="I1" s="41"/>
      <c r="J1" s="41"/>
      <c r="K1" s="41"/>
      <c r="L1" s="41"/>
      <c r="M1" s="42"/>
      <c r="N1" s="49" t="s">
        <v>2</v>
      </c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  <c r="AJ1" s="50"/>
      <c r="AK1" s="50"/>
      <c r="AL1" s="50"/>
      <c r="AM1" s="50"/>
      <c r="AN1" s="50"/>
      <c r="AO1" s="50"/>
      <c r="AP1" s="50"/>
      <c r="AQ1" s="50"/>
      <c r="AR1" s="50"/>
      <c r="AS1" s="50"/>
      <c r="AT1" s="50"/>
      <c r="AU1" s="50"/>
      <c r="AV1" s="50"/>
      <c r="AW1" s="50"/>
      <c r="AX1" s="50"/>
      <c r="AY1" s="50"/>
      <c r="AZ1" s="50"/>
      <c r="BA1" s="50"/>
      <c r="BB1" s="50"/>
      <c r="BC1" s="50"/>
      <c r="BD1" s="50"/>
      <c r="BE1" s="50"/>
      <c r="BF1" s="50"/>
      <c r="BG1" s="50"/>
      <c r="BH1" s="50"/>
      <c r="BI1" s="50"/>
      <c r="BJ1" s="50"/>
      <c r="BK1" s="50"/>
      <c r="BL1" s="50"/>
      <c r="BM1" s="50"/>
      <c r="BN1" s="50"/>
      <c r="BO1" s="51"/>
    </row>
    <row r="2" spans="1:67" ht="12.75" customHeight="1" x14ac:dyDescent="0.2">
      <c r="A2" s="39"/>
      <c r="B2" s="43"/>
      <c r="C2" s="44"/>
      <c r="D2" s="44"/>
      <c r="E2" s="44"/>
      <c r="F2" s="44"/>
      <c r="G2" s="44"/>
      <c r="H2" s="44"/>
      <c r="I2" s="44"/>
      <c r="J2" s="44"/>
      <c r="K2" s="44"/>
      <c r="L2" s="44"/>
      <c r="M2" s="45"/>
      <c r="N2" s="49" t="s">
        <v>3</v>
      </c>
      <c r="O2" s="50"/>
      <c r="P2" s="51"/>
      <c r="Q2" s="49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50"/>
      <c r="AO2" s="50"/>
      <c r="AP2" s="50"/>
      <c r="AQ2" s="50"/>
      <c r="AR2" s="50"/>
      <c r="AS2" s="50"/>
      <c r="AT2" s="50"/>
      <c r="AU2" s="50"/>
      <c r="AV2" s="50"/>
      <c r="AW2" s="50"/>
      <c r="AX2" s="50"/>
      <c r="AY2" s="50"/>
      <c r="AZ2" s="50"/>
      <c r="BA2" s="50"/>
      <c r="BB2" s="50"/>
      <c r="BC2" s="50"/>
      <c r="BD2" s="50"/>
      <c r="BE2" s="50"/>
      <c r="BF2" s="50"/>
      <c r="BG2" s="50"/>
      <c r="BH2" s="50"/>
      <c r="BI2" s="50"/>
      <c r="BJ2" s="50"/>
      <c r="BK2" s="50"/>
      <c r="BL2" s="50"/>
      <c r="BM2" s="50"/>
      <c r="BN2" s="51"/>
      <c r="BO2" s="1" t="s">
        <v>4</v>
      </c>
    </row>
    <row r="3" spans="1:67" ht="12.75" customHeight="1" x14ac:dyDescent="0.2">
      <c r="A3" s="39"/>
      <c r="B3" s="46"/>
      <c r="C3" s="47"/>
      <c r="D3" s="47"/>
      <c r="E3" s="47"/>
      <c r="F3" s="47"/>
      <c r="G3" s="47"/>
      <c r="H3" s="47"/>
      <c r="I3" s="47"/>
      <c r="J3" s="47"/>
      <c r="K3" s="47"/>
      <c r="L3" s="47"/>
      <c r="M3" s="48"/>
      <c r="N3" s="49" t="s">
        <v>5</v>
      </c>
      <c r="O3" s="50"/>
      <c r="P3" s="51"/>
      <c r="Q3" s="49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/>
      <c r="AS3" s="50"/>
      <c r="AT3" s="50"/>
      <c r="AU3" s="50"/>
      <c r="AV3" s="50"/>
      <c r="AW3" s="50"/>
      <c r="AX3" s="50"/>
      <c r="AY3" s="50"/>
      <c r="AZ3" s="50"/>
      <c r="BA3" s="50"/>
      <c r="BB3" s="50"/>
      <c r="BC3" s="50"/>
      <c r="BD3" s="50"/>
      <c r="BE3" s="50"/>
      <c r="BF3" s="50"/>
      <c r="BG3" s="50"/>
      <c r="BH3" s="50"/>
      <c r="BI3" s="50"/>
      <c r="BJ3" s="50"/>
      <c r="BK3" s="50"/>
      <c r="BL3" s="50"/>
      <c r="BM3" s="50"/>
      <c r="BN3" s="51"/>
      <c r="BO3" s="1" t="s">
        <v>6</v>
      </c>
    </row>
    <row r="4" spans="1:67" ht="12.75" customHeight="1" x14ac:dyDescent="0.2">
      <c r="A4" s="26" t="s">
        <v>7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8"/>
    </row>
    <row r="5" spans="1:67" ht="18.75" x14ac:dyDescent="0.2">
      <c r="A5" s="29"/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</row>
    <row r="6" spans="1:67" ht="15.75" x14ac:dyDescent="0.25">
      <c r="A6" s="2" t="s">
        <v>8</v>
      </c>
      <c r="B6" s="3"/>
      <c r="C6" s="3"/>
      <c r="D6" s="3"/>
      <c r="E6" s="3"/>
      <c r="F6" s="3"/>
      <c r="G6" s="3"/>
      <c r="H6" s="3"/>
      <c r="I6" s="3"/>
      <c r="J6" s="3" t="s">
        <v>9</v>
      </c>
      <c r="K6" s="3">
        <v>6</v>
      </c>
      <c r="L6" s="3"/>
      <c r="M6" s="3" t="s">
        <v>10</v>
      </c>
      <c r="N6" s="30">
        <v>2026</v>
      </c>
      <c r="O6" s="30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</row>
    <row r="7" spans="1:67" ht="15.7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</row>
    <row r="8" spans="1:67" ht="15.75" x14ac:dyDescent="0.25">
      <c r="A8" s="31" t="s">
        <v>11</v>
      </c>
      <c r="B8" s="33" t="s">
        <v>12</v>
      </c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5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36" t="s">
        <v>13</v>
      </c>
    </row>
    <row r="9" spans="1:67" x14ac:dyDescent="0.2">
      <c r="A9" s="31"/>
      <c r="B9" s="5" t="s">
        <v>14</v>
      </c>
      <c r="C9" s="5" t="s">
        <v>15</v>
      </c>
      <c r="D9" s="5" t="s">
        <v>16</v>
      </c>
      <c r="E9" s="5" t="s">
        <v>17</v>
      </c>
      <c r="F9" s="5" t="s">
        <v>18</v>
      </c>
      <c r="G9" s="5" t="s">
        <v>19</v>
      </c>
      <c r="H9" s="5" t="s">
        <v>20</v>
      </c>
      <c r="I9" s="5" t="s">
        <v>21</v>
      </c>
      <c r="J9" s="5" t="s">
        <v>22</v>
      </c>
      <c r="K9" s="5" t="s">
        <v>23</v>
      </c>
      <c r="L9" s="5" t="s">
        <v>24</v>
      </c>
      <c r="M9" s="5" t="s">
        <v>25</v>
      </c>
      <c r="N9" s="5" t="s">
        <v>26</v>
      </c>
      <c r="O9" s="5" t="s">
        <v>27</v>
      </c>
      <c r="P9" s="5" t="s">
        <v>28</v>
      </c>
      <c r="Q9" s="5" t="s">
        <v>29</v>
      </c>
      <c r="R9" s="5" t="s">
        <v>30</v>
      </c>
      <c r="S9" s="5" t="s">
        <v>31</v>
      </c>
      <c r="T9" s="5" t="s">
        <v>32</v>
      </c>
      <c r="U9" s="5" t="s">
        <v>33</v>
      </c>
      <c r="V9" s="5" t="s">
        <v>34</v>
      </c>
      <c r="W9" s="5" t="s">
        <v>35</v>
      </c>
      <c r="X9" s="5" t="s">
        <v>36</v>
      </c>
      <c r="Y9" s="5" t="s">
        <v>37</v>
      </c>
      <c r="Z9" s="5" t="s">
        <v>38</v>
      </c>
      <c r="AA9" s="5" t="s">
        <v>39</v>
      </c>
      <c r="AB9" s="5" t="s">
        <v>40</v>
      </c>
      <c r="AC9" s="5" t="s">
        <v>41</v>
      </c>
      <c r="AD9" s="5" t="s">
        <v>42</v>
      </c>
      <c r="AE9" s="5" t="s">
        <v>43</v>
      </c>
      <c r="AF9" s="5" t="s">
        <v>44</v>
      </c>
      <c r="AG9" s="5" t="s">
        <v>45</v>
      </c>
      <c r="AH9" s="5" t="s">
        <v>46</v>
      </c>
      <c r="AI9" s="5" t="s">
        <v>47</v>
      </c>
      <c r="AJ9" s="5" t="s">
        <v>48</v>
      </c>
      <c r="AK9" s="5" t="s">
        <v>49</v>
      </c>
      <c r="AL9" s="5" t="s">
        <v>50</v>
      </c>
      <c r="AM9" s="5" t="s">
        <v>51</v>
      </c>
      <c r="AN9" s="5" t="s">
        <v>52</v>
      </c>
      <c r="AO9" s="5" t="s">
        <v>53</v>
      </c>
      <c r="AP9" s="5" t="s">
        <v>54</v>
      </c>
      <c r="AQ9" s="5" t="s">
        <v>55</v>
      </c>
      <c r="AR9" s="5" t="s">
        <v>56</v>
      </c>
      <c r="AS9" s="5" t="s">
        <v>57</v>
      </c>
      <c r="AT9" s="5" t="s">
        <v>58</v>
      </c>
      <c r="AU9" s="5" t="s">
        <v>59</v>
      </c>
      <c r="AV9" s="5" t="s">
        <v>60</v>
      </c>
      <c r="AW9" s="5" t="s">
        <v>61</v>
      </c>
      <c r="AX9" s="5" t="s">
        <v>62</v>
      </c>
      <c r="AY9" s="5" t="s">
        <v>63</v>
      </c>
      <c r="AZ9" s="5" t="s">
        <v>64</v>
      </c>
      <c r="BA9" s="5" t="s">
        <v>65</v>
      </c>
      <c r="BB9" s="5" t="s">
        <v>66</v>
      </c>
      <c r="BC9" s="5" t="s">
        <v>67</v>
      </c>
      <c r="BD9" s="5" t="s">
        <v>68</v>
      </c>
      <c r="BE9" s="5" t="s">
        <v>69</v>
      </c>
      <c r="BF9" s="5" t="s">
        <v>70</v>
      </c>
      <c r="BG9" s="5" t="s">
        <v>71</v>
      </c>
      <c r="BH9" s="5" t="s">
        <v>72</v>
      </c>
      <c r="BI9" s="5" t="s">
        <v>73</v>
      </c>
      <c r="BJ9" s="5" t="s">
        <v>74</v>
      </c>
      <c r="BK9" s="5" t="s">
        <v>75</v>
      </c>
      <c r="BL9" s="5" t="s">
        <v>76</v>
      </c>
      <c r="BM9" s="5" t="s">
        <v>77</v>
      </c>
      <c r="BN9" s="5" t="s">
        <v>78</v>
      </c>
      <c r="BO9" s="37"/>
    </row>
    <row r="10" spans="1:67" ht="30" x14ac:dyDescent="0.25">
      <c r="A10" s="31"/>
      <c r="B10" s="6" t="s">
        <v>79</v>
      </c>
      <c r="C10" s="7" t="s">
        <v>80</v>
      </c>
      <c r="D10" s="8" t="s">
        <v>81</v>
      </c>
      <c r="E10" s="7" t="s">
        <v>82</v>
      </c>
      <c r="F10" s="7" t="s">
        <v>83</v>
      </c>
      <c r="G10" s="7" t="s">
        <v>84</v>
      </c>
      <c r="H10" s="7" t="s">
        <v>85</v>
      </c>
      <c r="I10" s="7" t="s">
        <v>86</v>
      </c>
      <c r="J10" s="7" t="s">
        <v>87</v>
      </c>
      <c r="K10" s="7" t="s">
        <v>88</v>
      </c>
      <c r="L10" s="7" t="s">
        <v>89</v>
      </c>
      <c r="M10" s="7" t="s">
        <v>90</v>
      </c>
      <c r="N10" s="7" t="s">
        <v>91</v>
      </c>
      <c r="O10" s="7" t="s">
        <v>92</v>
      </c>
      <c r="P10" s="7" t="s">
        <v>93</v>
      </c>
      <c r="Q10" s="7" t="s">
        <v>94</v>
      </c>
      <c r="R10" s="7" t="s">
        <v>95</v>
      </c>
      <c r="S10" s="7" t="s">
        <v>96</v>
      </c>
      <c r="T10" s="7" t="s">
        <v>97</v>
      </c>
      <c r="U10" s="8" t="s">
        <v>98</v>
      </c>
      <c r="V10" s="8" t="s">
        <v>99</v>
      </c>
      <c r="W10" s="7" t="s">
        <v>100</v>
      </c>
      <c r="X10" s="7" t="s">
        <v>101</v>
      </c>
      <c r="Y10" s="7" t="s">
        <v>102</v>
      </c>
      <c r="Z10" s="7" t="s">
        <v>103</v>
      </c>
      <c r="AA10" s="7" t="s">
        <v>104</v>
      </c>
      <c r="AB10" s="7" t="s">
        <v>105</v>
      </c>
      <c r="AC10" s="7" t="s">
        <v>106</v>
      </c>
      <c r="AD10" s="7" t="s">
        <v>107</v>
      </c>
      <c r="AE10" s="7" t="s">
        <v>108</v>
      </c>
      <c r="AF10" s="7" t="s">
        <v>109</v>
      </c>
      <c r="AG10" s="7" t="s">
        <v>110</v>
      </c>
      <c r="AH10" s="7" t="s">
        <v>111</v>
      </c>
      <c r="AI10" s="7" t="s">
        <v>112</v>
      </c>
      <c r="AJ10" s="7" t="s">
        <v>113</v>
      </c>
      <c r="AK10" s="8" t="s">
        <v>114</v>
      </c>
      <c r="AL10" s="8" t="s">
        <v>115</v>
      </c>
      <c r="AM10" s="8" t="s">
        <v>116</v>
      </c>
      <c r="AN10" s="8" t="s">
        <v>117</v>
      </c>
      <c r="AO10" s="8" t="s">
        <v>118</v>
      </c>
      <c r="AP10" s="8" t="s">
        <v>119</v>
      </c>
      <c r="AQ10" s="8" t="s">
        <v>120</v>
      </c>
      <c r="AR10" s="8" t="s">
        <v>121</v>
      </c>
      <c r="AS10" s="8" t="s">
        <v>122</v>
      </c>
      <c r="AT10" s="9" t="s">
        <v>123</v>
      </c>
      <c r="AU10" s="9" t="s">
        <v>124</v>
      </c>
      <c r="AV10" s="9" t="s">
        <v>125</v>
      </c>
      <c r="AW10" s="9" t="s">
        <v>126</v>
      </c>
      <c r="AX10" s="9" t="s">
        <v>127</v>
      </c>
      <c r="AY10" s="10" t="s">
        <v>128</v>
      </c>
      <c r="AZ10" s="11" t="s">
        <v>129</v>
      </c>
      <c r="BA10" s="11" t="s">
        <v>130</v>
      </c>
      <c r="BB10" s="11" t="s">
        <v>131</v>
      </c>
      <c r="BC10" s="11" t="s">
        <v>132</v>
      </c>
      <c r="BD10" s="11" t="s">
        <v>133</v>
      </c>
      <c r="BE10" s="12" t="s">
        <v>134</v>
      </c>
      <c r="BF10" s="9" t="s">
        <v>135</v>
      </c>
      <c r="BG10" s="9" t="s">
        <v>136</v>
      </c>
      <c r="BH10" s="9" t="s">
        <v>137</v>
      </c>
      <c r="BI10" s="9" t="s">
        <v>138</v>
      </c>
      <c r="BJ10" s="9" t="s">
        <v>139</v>
      </c>
      <c r="BK10" s="9" t="s">
        <v>140</v>
      </c>
      <c r="BL10" s="9" t="s">
        <v>141</v>
      </c>
      <c r="BM10" s="12"/>
      <c r="BN10" s="12"/>
      <c r="BO10" s="37"/>
    </row>
    <row r="11" spans="1:67" ht="15" x14ac:dyDescent="0.25">
      <c r="A11" s="32"/>
      <c r="B11" s="6" t="s">
        <v>142</v>
      </c>
      <c r="C11" s="13" t="s">
        <v>143</v>
      </c>
      <c r="D11" s="11" t="s">
        <v>144</v>
      </c>
      <c r="E11" s="14" t="s">
        <v>145</v>
      </c>
      <c r="F11" s="7" t="s">
        <v>146</v>
      </c>
      <c r="G11" s="7" t="s">
        <v>147</v>
      </c>
      <c r="H11" s="7" t="s">
        <v>148</v>
      </c>
      <c r="I11" s="7" t="s">
        <v>149</v>
      </c>
      <c r="J11" s="7" t="s">
        <v>150</v>
      </c>
      <c r="K11" s="7" t="s">
        <v>151</v>
      </c>
      <c r="L11" s="7" t="s">
        <v>152</v>
      </c>
      <c r="M11" s="7" t="s">
        <v>153</v>
      </c>
      <c r="N11" s="7" t="s">
        <v>154</v>
      </c>
      <c r="O11" s="7" t="s">
        <v>155</v>
      </c>
      <c r="P11" s="7" t="s">
        <v>156</v>
      </c>
      <c r="Q11" s="7" t="s">
        <v>157</v>
      </c>
      <c r="R11" s="7" t="s">
        <v>158</v>
      </c>
      <c r="S11" s="7" t="s">
        <v>159</v>
      </c>
      <c r="T11" s="7" t="s">
        <v>160</v>
      </c>
      <c r="U11" s="15" t="s">
        <v>161</v>
      </c>
      <c r="V11" s="15" t="s">
        <v>162</v>
      </c>
      <c r="W11" s="7" t="s">
        <v>163</v>
      </c>
      <c r="X11" s="7" t="s">
        <v>164</v>
      </c>
      <c r="Y11" s="7" t="s">
        <v>165</v>
      </c>
      <c r="Z11" s="7" t="s">
        <v>166</v>
      </c>
      <c r="AA11" s="7" t="s">
        <v>167</v>
      </c>
      <c r="AB11" s="7" t="s">
        <v>168</v>
      </c>
      <c r="AC11" s="7" t="s">
        <v>169</v>
      </c>
      <c r="AD11" s="7" t="s">
        <v>170</v>
      </c>
      <c r="AE11" s="7" t="s">
        <v>171</v>
      </c>
      <c r="AF11" s="7" t="s">
        <v>172</v>
      </c>
      <c r="AG11" s="7" t="s">
        <v>173</v>
      </c>
      <c r="AH11" s="7" t="s">
        <v>174</v>
      </c>
      <c r="AI11" s="7" t="s">
        <v>175</v>
      </c>
      <c r="AJ11" s="7" t="s">
        <v>176</v>
      </c>
      <c r="AK11" s="16" t="s">
        <v>177</v>
      </c>
      <c r="AL11" s="16" t="s">
        <v>178</v>
      </c>
      <c r="AM11" s="16" t="s">
        <v>179</v>
      </c>
      <c r="AN11" s="16" t="s">
        <v>180</v>
      </c>
      <c r="AO11" s="16" t="s">
        <v>181</v>
      </c>
      <c r="AP11" s="16" t="s">
        <v>182</v>
      </c>
      <c r="AQ11" s="17" t="s">
        <v>183</v>
      </c>
      <c r="AR11" s="17" t="s">
        <v>184</v>
      </c>
      <c r="AS11" s="17" t="s">
        <v>185</v>
      </c>
      <c r="AT11" s="17" t="s">
        <v>186</v>
      </c>
      <c r="AU11" s="17" t="s">
        <v>187</v>
      </c>
      <c r="AV11" s="17" t="s">
        <v>188</v>
      </c>
      <c r="AW11" s="17" t="s">
        <v>189</v>
      </c>
      <c r="AX11" s="17" t="s">
        <v>190</v>
      </c>
      <c r="AY11" s="16" t="s">
        <v>191</v>
      </c>
      <c r="AZ11" s="16" t="s">
        <v>192</v>
      </c>
      <c r="BA11" s="16" t="s">
        <v>193</v>
      </c>
      <c r="BB11" s="16" t="s">
        <v>194</v>
      </c>
      <c r="BC11" s="16" t="s">
        <v>195</v>
      </c>
      <c r="BD11" s="16" t="s">
        <v>196</v>
      </c>
      <c r="BE11" s="16" t="s">
        <v>197</v>
      </c>
      <c r="BF11" s="16" t="s">
        <v>198</v>
      </c>
      <c r="BG11" s="16" t="s">
        <v>199</v>
      </c>
      <c r="BH11" s="16" t="s">
        <v>200</v>
      </c>
      <c r="BI11" s="16" t="s">
        <v>201</v>
      </c>
      <c r="BJ11" s="16" t="s">
        <v>202</v>
      </c>
      <c r="BK11" s="16" t="s">
        <v>203</v>
      </c>
      <c r="BL11" s="16" t="s">
        <v>204</v>
      </c>
      <c r="BM11" s="16"/>
      <c r="BN11" s="18"/>
      <c r="BO11" s="38"/>
    </row>
    <row r="12" spans="1:67" ht="15.75" x14ac:dyDescent="0.2">
      <c r="A12" s="23">
        <f>DATE(N6,K6,1)</f>
        <v>46174</v>
      </c>
      <c r="B12" s="24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20"/>
      <c r="BJ12" s="20"/>
      <c r="BK12" s="20"/>
      <c r="BL12" s="20"/>
      <c r="BM12" s="20"/>
      <c r="BN12" s="20"/>
      <c r="BO12" s="19"/>
    </row>
    <row r="13" spans="1:67" ht="15.75" x14ac:dyDescent="0.2">
      <c r="A13" s="23">
        <f>A12+1</f>
        <v>46175</v>
      </c>
      <c r="B13" s="24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</row>
    <row r="14" spans="1:67" ht="15.75" x14ac:dyDescent="0.2">
      <c r="A14" s="23">
        <f t="shared" ref="A14:A39" si="0">A13+1</f>
        <v>46176</v>
      </c>
      <c r="B14" s="24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</row>
    <row r="15" spans="1:67" ht="15.75" x14ac:dyDescent="0.2">
      <c r="A15" s="23">
        <f t="shared" si="0"/>
        <v>46177</v>
      </c>
      <c r="B15" s="24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</row>
    <row r="16" spans="1:67" ht="15.75" x14ac:dyDescent="0.2">
      <c r="A16" s="23">
        <f t="shared" si="0"/>
        <v>46178</v>
      </c>
      <c r="B16" s="24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</row>
    <row r="17" spans="1:67" ht="15.75" x14ac:dyDescent="0.2">
      <c r="A17" s="23">
        <f t="shared" si="0"/>
        <v>46179</v>
      </c>
      <c r="B17" s="24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</row>
    <row r="18" spans="1:67" ht="15.75" x14ac:dyDescent="0.2">
      <c r="A18" s="23">
        <f t="shared" si="0"/>
        <v>46180</v>
      </c>
      <c r="B18" s="24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</row>
    <row r="19" spans="1:67" ht="15.75" x14ac:dyDescent="0.2">
      <c r="A19" s="23">
        <f t="shared" si="0"/>
        <v>46181</v>
      </c>
      <c r="B19" s="24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</row>
    <row r="20" spans="1:67" ht="15.75" x14ac:dyDescent="0.2">
      <c r="A20" s="23">
        <f t="shared" si="0"/>
        <v>46182</v>
      </c>
      <c r="B20" s="24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</row>
    <row r="21" spans="1:67" ht="15.75" x14ac:dyDescent="0.2">
      <c r="A21" s="23">
        <f t="shared" si="0"/>
        <v>46183</v>
      </c>
      <c r="B21" s="24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  <c r="BO21" s="19"/>
    </row>
    <row r="22" spans="1:67" ht="15.75" x14ac:dyDescent="0.2">
      <c r="A22" s="23">
        <f t="shared" si="0"/>
        <v>46184</v>
      </c>
      <c r="B22" s="24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</row>
    <row r="23" spans="1:67" ht="15.75" x14ac:dyDescent="0.2">
      <c r="A23" s="23">
        <f t="shared" si="0"/>
        <v>46185</v>
      </c>
      <c r="B23" s="24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</row>
    <row r="24" spans="1:67" ht="15.75" x14ac:dyDescent="0.2">
      <c r="A24" s="23">
        <f t="shared" si="0"/>
        <v>46186</v>
      </c>
      <c r="B24" s="24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</row>
    <row r="25" spans="1:67" ht="15.75" x14ac:dyDescent="0.2">
      <c r="A25" s="23">
        <f t="shared" si="0"/>
        <v>46187</v>
      </c>
      <c r="B25" s="24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/>
      <c r="BO25" s="19"/>
    </row>
    <row r="26" spans="1:67" ht="15.75" x14ac:dyDescent="0.2">
      <c r="A26" s="23">
        <f t="shared" si="0"/>
        <v>46188</v>
      </c>
      <c r="B26" s="24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</row>
    <row r="27" spans="1:67" ht="15.75" x14ac:dyDescent="0.2">
      <c r="A27" s="23">
        <f t="shared" si="0"/>
        <v>46189</v>
      </c>
      <c r="B27" s="24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</row>
    <row r="28" spans="1:67" ht="15.75" x14ac:dyDescent="0.2">
      <c r="A28" s="23">
        <f t="shared" si="0"/>
        <v>46190</v>
      </c>
      <c r="B28" s="24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</row>
    <row r="29" spans="1:67" ht="15.75" x14ac:dyDescent="0.2">
      <c r="A29" s="23">
        <f t="shared" si="0"/>
        <v>46191</v>
      </c>
      <c r="B29" s="24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</row>
    <row r="30" spans="1:67" ht="15.75" x14ac:dyDescent="0.2">
      <c r="A30" s="23">
        <f t="shared" si="0"/>
        <v>46192</v>
      </c>
      <c r="B30" s="24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</row>
    <row r="31" spans="1:67" ht="15.75" x14ac:dyDescent="0.2">
      <c r="A31" s="23">
        <f t="shared" si="0"/>
        <v>46193</v>
      </c>
      <c r="B31" s="24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</row>
    <row r="32" spans="1:67" ht="15.75" x14ac:dyDescent="0.2">
      <c r="A32" s="23">
        <f t="shared" si="0"/>
        <v>46194</v>
      </c>
      <c r="B32" s="24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</row>
    <row r="33" spans="1:67" ht="15.75" x14ac:dyDescent="0.2">
      <c r="A33" s="23">
        <f t="shared" si="0"/>
        <v>46195</v>
      </c>
      <c r="B33" s="24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19"/>
      <c r="BN33" s="19"/>
      <c r="BO33" s="19"/>
    </row>
    <row r="34" spans="1:67" ht="15.75" x14ac:dyDescent="0.2">
      <c r="A34" s="23">
        <f>A33+1</f>
        <v>46196</v>
      </c>
      <c r="B34" s="24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/>
      <c r="BG34" s="19"/>
      <c r="BH34" s="19"/>
      <c r="BI34" s="19"/>
      <c r="BJ34" s="19"/>
      <c r="BK34" s="19"/>
      <c r="BL34" s="19"/>
      <c r="BM34" s="19"/>
      <c r="BN34" s="19"/>
      <c r="BO34" s="19"/>
    </row>
    <row r="35" spans="1:67" ht="15.75" x14ac:dyDescent="0.2">
      <c r="A35" s="23">
        <f t="shared" si="0"/>
        <v>46197</v>
      </c>
      <c r="B35" s="24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/>
      <c r="BG35" s="19"/>
      <c r="BH35" s="19"/>
      <c r="BI35" s="19"/>
      <c r="BJ35" s="19"/>
      <c r="BK35" s="19"/>
      <c r="BL35" s="19"/>
      <c r="BM35" s="19"/>
      <c r="BN35" s="19"/>
      <c r="BO35" s="19"/>
    </row>
    <row r="36" spans="1:67" ht="15.75" x14ac:dyDescent="0.2">
      <c r="A36" s="23">
        <f t="shared" si="0"/>
        <v>46198</v>
      </c>
      <c r="B36" s="24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19"/>
      <c r="BJ36" s="19"/>
      <c r="BK36" s="19"/>
      <c r="BL36" s="19"/>
      <c r="BM36" s="19"/>
      <c r="BN36" s="19"/>
      <c r="BO36" s="19"/>
    </row>
    <row r="37" spans="1:67" ht="15.75" x14ac:dyDescent="0.2">
      <c r="A37" s="23">
        <f t="shared" si="0"/>
        <v>46199</v>
      </c>
      <c r="B37" s="24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19"/>
      <c r="BJ37" s="19"/>
      <c r="BK37" s="19"/>
      <c r="BL37" s="19"/>
      <c r="BM37" s="19"/>
      <c r="BN37" s="19"/>
      <c r="BO37" s="19"/>
    </row>
    <row r="38" spans="1:67" ht="15.75" x14ac:dyDescent="0.2">
      <c r="A38" s="23">
        <f t="shared" si="0"/>
        <v>46200</v>
      </c>
      <c r="B38" s="24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/>
      <c r="BG38" s="19"/>
      <c r="BH38" s="19"/>
      <c r="BI38" s="19"/>
      <c r="BJ38" s="19"/>
      <c r="BK38" s="19"/>
      <c r="BL38" s="19"/>
      <c r="BM38" s="19"/>
      <c r="BN38" s="19"/>
      <c r="BO38" s="19"/>
    </row>
    <row r="39" spans="1:67" ht="15.75" x14ac:dyDescent="0.2">
      <c r="A39" s="23">
        <f t="shared" si="0"/>
        <v>46201</v>
      </c>
      <c r="B39" s="24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/>
      <c r="BG39" s="19"/>
      <c r="BH39" s="19"/>
      <c r="BI39" s="19"/>
      <c r="BJ39" s="19"/>
      <c r="BK39" s="19"/>
      <c r="BL39" s="19"/>
      <c r="BM39" s="19"/>
      <c r="BN39" s="19"/>
      <c r="BO39" s="19"/>
    </row>
    <row r="40" spans="1:67" ht="15.75" x14ac:dyDescent="0.2">
      <c r="A40" s="23">
        <f>IF(A39="","",IF(A39=EOMONTH(DATE($N$6,$K$6,1),0),"",A39+1))</f>
        <v>46202</v>
      </c>
      <c r="B40" s="24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/>
      <c r="BG40" s="19"/>
      <c r="BH40" s="19"/>
      <c r="BI40" s="19"/>
      <c r="BJ40" s="19"/>
      <c r="BK40" s="19"/>
      <c r="BL40" s="19"/>
      <c r="BM40" s="19"/>
      <c r="BN40" s="19"/>
      <c r="BO40" s="19"/>
    </row>
    <row r="41" spans="1:67" ht="15.75" x14ac:dyDescent="0.2">
      <c r="A41" s="23">
        <f>IF(A40="","",IF(A40=EOMONTH(DATE($N$6,$K$6,1),0),"",A40+1))</f>
        <v>46203</v>
      </c>
      <c r="B41" s="24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/>
      <c r="BG41" s="19"/>
      <c r="BH41" s="19"/>
      <c r="BI41" s="19"/>
      <c r="BJ41" s="19"/>
      <c r="BK41" s="19"/>
      <c r="BL41" s="19"/>
      <c r="BM41" s="19"/>
      <c r="BN41" s="19"/>
      <c r="BO41" s="19"/>
    </row>
    <row r="42" spans="1:67" ht="15.75" x14ac:dyDescent="0.2">
      <c r="A42" s="23" t="str">
        <f>IF(A41="","",IF(A41=EOMONTH(DATE($N$6,$K$6,1),0),"",A41+1))</f>
        <v/>
      </c>
      <c r="B42" s="24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/>
      <c r="BG42" s="19"/>
      <c r="BH42" s="19"/>
      <c r="BI42" s="19"/>
      <c r="BJ42" s="19"/>
      <c r="BK42" s="19"/>
      <c r="BL42" s="19"/>
      <c r="BM42" s="19"/>
      <c r="BN42" s="19"/>
      <c r="BO42" s="19"/>
    </row>
    <row r="43" spans="1:67" ht="13.5" x14ac:dyDescent="0.25">
      <c r="A43" s="21" t="s">
        <v>205</v>
      </c>
      <c r="B43" s="25" t="s">
        <v>206</v>
      </c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</row>
    <row r="44" spans="1:67" x14ac:dyDescent="0.2">
      <c r="A44" s="22"/>
      <c r="B44" s="22" t="s">
        <v>207</v>
      </c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 t="s">
        <v>208</v>
      </c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</row>
  </sheetData>
  <mergeCells count="45">
    <mergeCell ref="A1:A3"/>
    <mergeCell ref="B1:M3"/>
    <mergeCell ref="N1:BO1"/>
    <mergeCell ref="N2:P2"/>
    <mergeCell ref="Q2:BN2"/>
    <mergeCell ref="N3:P3"/>
    <mergeCell ref="Q3:BN3"/>
    <mergeCell ref="A4:BO4"/>
    <mergeCell ref="A5:BO5"/>
    <mergeCell ref="N6:O6"/>
    <mergeCell ref="A8:A11"/>
    <mergeCell ref="B8:P8"/>
    <mergeCell ref="BO8:BO11"/>
    <mergeCell ref="A23:B23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35:B35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42:B42"/>
    <mergeCell ref="B43:N43"/>
    <mergeCell ref="A36:B36"/>
    <mergeCell ref="A37:B37"/>
    <mergeCell ref="A38:B38"/>
    <mergeCell ref="A39:B39"/>
    <mergeCell ref="A40:B40"/>
    <mergeCell ref="A41:B41"/>
  </mergeCells>
  <conditionalFormatting sqref="AR10">
    <cfRule type="duplicateValues" dxfId="13" priority="2"/>
  </conditionalFormatting>
  <conditionalFormatting sqref="AS10">
    <cfRule type="duplicateValues" dxfId="12" priority="1"/>
  </conditionalFormatting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193" r:id="rId3" name="Spinner 1">
              <controlPr defaultSize="0" autoPict="0">
                <anchor moveWithCells="1" sizeWithCells="1">
                  <from>
                    <xdr:col>11</xdr:col>
                    <xdr:colOff>19050</xdr:colOff>
                    <xdr:row>4</xdr:row>
                    <xdr:rowOff>123825</xdr:rowOff>
                  </from>
                  <to>
                    <xdr:col>11</xdr:col>
                    <xdr:colOff>342900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4" r:id="rId4" name="Spinner 2">
              <controlPr defaultSize="0" autoPict="0">
                <anchor moveWithCells="1" sizeWithCells="1">
                  <from>
                    <xdr:col>15</xdr:col>
                    <xdr:colOff>0</xdr:colOff>
                    <xdr:row>4</xdr:row>
                    <xdr:rowOff>123825</xdr:rowOff>
                  </from>
                  <to>
                    <xdr:col>15</xdr:col>
                    <xdr:colOff>323850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7" r:id="rId5" name="Spinner 5">
              <controlPr defaultSize="0" autoPict="0">
                <anchor moveWithCells="1" sizeWithCells="1">
                  <from>
                    <xdr:col>11</xdr:col>
                    <xdr:colOff>19050</xdr:colOff>
                    <xdr:row>4</xdr:row>
                    <xdr:rowOff>123825</xdr:rowOff>
                  </from>
                  <to>
                    <xdr:col>11</xdr:col>
                    <xdr:colOff>342900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8" r:id="rId6" name="Spinner 6">
              <controlPr defaultSize="0" autoPict="0">
                <anchor moveWithCells="1" sizeWithCells="1">
                  <from>
                    <xdr:col>15</xdr:col>
                    <xdr:colOff>0</xdr:colOff>
                    <xdr:row>4</xdr:row>
                    <xdr:rowOff>123825</xdr:rowOff>
                  </from>
                  <to>
                    <xdr:col>15</xdr:col>
                    <xdr:colOff>323850</xdr:colOff>
                    <xdr:row>6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O44"/>
  <sheetViews>
    <sheetView zoomScale="70" zoomScaleNormal="70" workbookViewId="0">
      <selection activeCell="J28" sqref="J28"/>
    </sheetView>
  </sheetViews>
  <sheetFormatPr defaultRowHeight="12.75" x14ac:dyDescent="0.2"/>
  <cols>
    <col min="1" max="2" width="23.5" bestFit="1" customWidth="1"/>
    <col min="3" max="3" width="31.6640625" bestFit="1" customWidth="1"/>
    <col min="4" max="4" width="47" bestFit="1" customWidth="1"/>
    <col min="5" max="5" width="40.6640625" bestFit="1" customWidth="1"/>
    <col min="6" max="6" width="32.83203125" bestFit="1" customWidth="1"/>
    <col min="7" max="7" width="32" bestFit="1" customWidth="1"/>
    <col min="8" max="13" width="32.5" bestFit="1" customWidth="1"/>
    <col min="14" max="14" width="34.5" bestFit="1" customWidth="1"/>
    <col min="15" max="15" width="34.1640625" bestFit="1" customWidth="1"/>
    <col min="16" max="16" width="33.6640625" bestFit="1" customWidth="1"/>
    <col min="17" max="17" width="25.6640625" bestFit="1" customWidth="1"/>
    <col min="18" max="19" width="25" bestFit="1" customWidth="1"/>
    <col min="20" max="20" width="35.1640625" bestFit="1" customWidth="1"/>
    <col min="21" max="22" width="37.5" bestFit="1" customWidth="1"/>
    <col min="23" max="23" width="42.5" bestFit="1" customWidth="1"/>
    <col min="24" max="25" width="41.83203125" bestFit="1" customWidth="1"/>
    <col min="26" max="26" width="39.6640625" bestFit="1" customWidth="1"/>
    <col min="27" max="27" width="39" bestFit="1" customWidth="1"/>
    <col min="28" max="34" width="40.1640625" bestFit="1" customWidth="1"/>
    <col min="35" max="35" width="39.6640625" bestFit="1" customWidth="1"/>
    <col min="36" max="36" width="28.5" bestFit="1" customWidth="1"/>
    <col min="37" max="38" width="47.83203125" bestFit="1" customWidth="1"/>
    <col min="39" max="39" width="49" bestFit="1" customWidth="1"/>
    <col min="40" max="40" width="49.5" bestFit="1" customWidth="1"/>
    <col min="41" max="41" width="46.33203125" bestFit="1" customWidth="1"/>
    <col min="42" max="42" width="46.6640625" bestFit="1" customWidth="1"/>
    <col min="43" max="43" width="34" bestFit="1" customWidth="1"/>
    <col min="44" max="45" width="26.6640625" bestFit="1" customWidth="1"/>
    <col min="46" max="47" width="30.33203125" bestFit="1" customWidth="1"/>
    <col min="48" max="48" width="35.83203125" bestFit="1" customWidth="1"/>
    <col min="49" max="49" width="37" bestFit="1" customWidth="1"/>
    <col min="50" max="50" width="33.33203125" bestFit="1" customWidth="1"/>
    <col min="51" max="51" width="34.1640625" bestFit="1" customWidth="1"/>
    <col min="52" max="52" width="33.5" bestFit="1" customWidth="1"/>
    <col min="53" max="54" width="36.6640625" bestFit="1" customWidth="1"/>
    <col min="55" max="56" width="43.33203125" bestFit="1" customWidth="1"/>
    <col min="57" max="57" width="41.6640625" bestFit="1" customWidth="1"/>
    <col min="58" max="58" width="44.1640625" bestFit="1" customWidth="1"/>
    <col min="59" max="59" width="32" bestFit="1" customWidth="1"/>
    <col min="60" max="60" width="39.1640625" bestFit="1" customWidth="1"/>
    <col min="61" max="61" width="35.6640625" bestFit="1" customWidth="1"/>
    <col min="62" max="62" width="30.6640625" bestFit="1" customWidth="1"/>
    <col min="63" max="63" width="44" bestFit="1" customWidth="1"/>
    <col min="64" max="64" width="39" bestFit="1" customWidth="1"/>
    <col min="65" max="66" width="6.83203125" bestFit="1" customWidth="1"/>
    <col min="67" max="67" width="14.6640625" bestFit="1" customWidth="1"/>
  </cols>
  <sheetData>
    <row r="1" spans="1:67" x14ac:dyDescent="0.2">
      <c r="A1" s="39" t="s">
        <v>0</v>
      </c>
      <c r="B1" s="40" t="s">
        <v>1</v>
      </c>
      <c r="C1" s="41"/>
      <c r="D1" s="41"/>
      <c r="E1" s="41"/>
      <c r="F1" s="41"/>
      <c r="G1" s="41"/>
      <c r="H1" s="41"/>
      <c r="I1" s="41"/>
      <c r="J1" s="41"/>
      <c r="K1" s="41"/>
      <c r="L1" s="41"/>
      <c r="M1" s="42"/>
      <c r="N1" s="49" t="s">
        <v>2</v>
      </c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  <c r="AJ1" s="50"/>
      <c r="AK1" s="50"/>
      <c r="AL1" s="50"/>
      <c r="AM1" s="50"/>
      <c r="AN1" s="50"/>
      <c r="AO1" s="50"/>
      <c r="AP1" s="50"/>
      <c r="AQ1" s="50"/>
      <c r="AR1" s="50"/>
      <c r="AS1" s="50"/>
      <c r="AT1" s="50"/>
      <c r="AU1" s="50"/>
      <c r="AV1" s="50"/>
      <c r="AW1" s="50"/>
      <c r="AX1" s="50"/>
      <c r="AY1" s="50"/>
      <c r="AZ1" s="50"/>
      <c r="BA1" s="50"/>
      <c r="BB1" s="50"/>
      <c r="BC1" s="50"/>
      <c r="BD1" s="50"/>
      <c r="BE1" s="50"/>
      <c r="BF1" s="50"/>
      <c r="BG1" s="50"/>
      <c r="BH1" s="50"/>
      <c r="BI1" s="50"/>
      <c r="BJ1" s="50"/>
      <c r="BK1" s="50"/>
      <c r="BL1" s="50"/>
      <c r="BM1" s="50"/>
      <c r="BN1" s="50"/>
      <c r="BO1" s="51"/>
    </row>
    <row r="2" spans="1:67" x14ac:dyDescent="0.2">
      <c r="A2" s="39"/>
      <c r="B2" s="43"/>
      <c r="C2" s="44"/>
      <c r="D2" s="44"/>
      <c r="E2" s="44"/>
      <c r="F2" s="44"/>
      <c r="G2" s="44"/>
      <c r="H2" s="44"/>
      <c r="I2" s="44"/>
      <c r="J2" s="44"/>
      <c r="K2" s="44"/>
      <c r="L2" s="44"/>
      <c r="M2" s="45"/>
      <c r="N2" s="49" t="s">
        <v>3</v>
      </c>
      <c r="O2" s="50"/>
      <c r="P2" s="51"/>
      <c r="Q2" s="49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50"/>
      <c r="AO2" s="50"/>
      <c r="AP2" s="50"/>
      <c r="AQ2" s="50"/>
      <c r="AR2" s="50"/>
      <c r="AS2" s="50"/>
      <c r="AT2" s="50"/>
      <c r="AU2" s="50"/>
      <c r="AV2" s="50"/>
      <c r="AW2" s="50"/>
      <c r="AX2" s="50"/>
      <c r="AY2" s="50"/>
      <c r="AZ2" s="50"/>
      <c r="BA2" s="50"/>
      <c r="BB2" s="50"/>
      <c r="BC2" s="50"/>
      <c r="BD2" s="50"/>
      <c r="BE2" s="50"/>
      <c r="BF2" s="50"/>
      <c r="BG2" s="50"/>
      <c r="BH2" s="50"/>
      <c r="BI2" s="50"/>
      <c r="BJ2" s="50"/>
      <c r="BK2" s="50"/>
      <c r="BL2" s="50"/>
      <c r="BM2" s="50"/>
      <c r="BN2" s="51"/>
      <c r="BO2" s="1" t="s">
        <v>4</v>
      </c>
    </row>
    <row r="3" spans="1:67" x14ac:dyDescent="0.2">
      <c r="A3" s="39"/>
      <c r="B3" s="46"/>
      <c r="C3" s="47"/>
      <c r="D3" s="47"/>
      <c r="E3" s="47"/>
      <c r="F3" s="47"/>
      <c r="G3" s="47"/>
      <c r="H3" s="47"/>
      <c r="I3" s="47"/>
      <c r="J3" s="47"/>
      <c r="K3" s="47"/>
      <c r="L3" s="47"/>
      <c r="M3" s="48"/>
      <c r="N3" s="49" t="s">
        <v>5</v>
      </c>
      <c r="O3" s="50"/>
      <c r="P3" s="51"/>
      <c r="Q3" s="49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/>
      <c r="AS3" s="50"/>
      <c r="AT3" s="50"/>
      <c r="AU3" s="50"/>
      <c r="AV3" s="50"/>
      <c r="AW3" s="50"/>
      <c r="AX3" s="50"/>
      <c r="AY3" s="50"/>
      <c r="AZ3" s="50"/>
      <c r="BA3" s="50"/>
      <c r="BB3" s="50"/>
      <c r="BC3" s="50"/>
      <c r="BD3" s="50"/>
      <c r="BE3" s="50"/>
      <c r="BF3" s="50"/>
      <c r="BG3" s="50"/>
      <c r="BH3" s="50"/>
      <c r="BI3" s="50"/>
      <c r="BJ3" s="50"/>
      <c r="BK3" s="50"/>
      <c r="BL3" s="50"/>
      <c r="BM3" s="50"/>
      <c r="BN3" s="51"/>
      <c r="BO3" s="1" t="s">
        <v>6</v>
      </c>
    </row>
    <row r="4" spans="1:67" x14ac:dyDescent="0.2">
      <c r="A4" s="26" t="s">
        <v>7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8"/>
    </row>
    <row r="5" spans="1:67" ht="18.75" x14ac:dyDescent="0.2">
      <c r="A5" s="29"/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</row>
    <row r="6" spans="1:67" ht="15.75" x14ac:dyDescent="0.25">
      <c r="A6" s="2" t="s">
        <v>8</v>
      </c>
      <c r="B6" s="3"/>
      <c r="C6" s="3"/>
      <c r="D6" s="3"/>
      <c r="E6" s="3"/>
      <c r="F6" s="3"/>
      <c r="G6" s="3"/>
      <c r="H6" s="3"/>
      <c r="I6" s="3"/>
      <c r="J6" s="3" t="s">
        <v>9</v>
      </c>
      <c r="K6" s="3">
        <v>7</v>
      </c>
      <c r="L6" s="3"/>
      <c r="M6" s="3" t="s">
        <v>10</v>
      </c>
      <c r="N6" s="30">
        <v>2026</v>
      </c>
      <c r="O6" s="30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</row>
    <row r="7" spans="1:67" ht="15.7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</row>
    <row r="8" spans="1:67" ht="15.75" x14ac:dyDescent="0.25">
      <c r="A8" s="31" t="s">
        <v>11</v>
      </c>
      <c r="B8" s="33" t="s">
        <v>12</v>
      </c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5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36" t="s">
        <v>13</v>
      </c>
    </row>
    <row r="9" spans="1:67" x14ac:dyDescent="0.2">
      <c r="A9" s="31"/>
      <c r="B9" s="5" t="s">
        <v>14</v>
      </c>
      <c r="C9" s="5" t="s">
        <v>15</v>
      </c>
      <c r="D9" s="5" t="s">
        <v>16</v>
      </c>
      <c r="E9" s="5" t="s">
        <v>17</v>
      </c>
      <c r="F9" s="5" t="s">
        <v>18</v>
      </c>
      <c r="G9" s="5" t="s">
        <v>19</v>
      </c>
      <c r="H9" s="5" t="s">
        <v>20</v>
      </c>
      <c r="I9" s="5" t="s">
        <v>21</v>
      </c>
      <c r="J9" s="5" t="s">
        <v>22</v>
      </c>
      <c r="K9" s="5" t="s">
        <v>23</v>
      </c>
      <c r="L9" s="5" t="s">
        <v>24</v>
      </c>
      <c r="M9" s="5" t="s">
        <v>25</v>
      </c>
      <c r="N9" s="5" t="s">
        <v>26</v>
      </c>
      <c r="O9" s="5" t="s">
        <v>27</v>
      </c>
      <c r="P9" s="5" t="s">
        <v>28</v>
      </c>
      <c r="Q9" s="5" t="s">
        <v>29</v>
      </c>
      <c r="R9" s="5" t="s">
        <v>30</v>
      </c>
      <c r="S9" s="5" t="s">
        <v>31</v>
      </c>
      <c r="T9" s="5" t="s">
        <v>32</v>
      </c>
      <c r="U9" s="5" t="s">
        <v>33</v>
      </c>
      <c r="V9" s="5" t="s">
        <v>34</v>
      </c>
      <c r="W9" s="5" t="s">
        <v>35</v>
      </c>
      <c r="X9" s="5" t="s">
        <v>36</v>
      </c>
      <c r="Y9" s="5" t="s">
        <v>37</v>
      </c>
      <c r="Z9" s="5" t="s">
        <v>38</v>
      </c>
      <c r="AA9" s="5" t="s">
        <v>39</v>
      </c>
      <c r="AB9" s="5" t="s">
        <v>40</v>
      </c>
      <c r="AC9" s="5" t="s">
        <v>41</v>
      </c>
      <c r="AD9" s="5" t="s">
        <v>42</v>
      </c>
      <c r="AE9" s="5" t="s">
        <v>43</v>
      </c>
      <c r="AF9" s="5" t="s">
        <v>44</v>
      </c>
      <c r="AG9" s="5" t="s">
        <v>45</v>
      </c>
      <c r="AH9" s="5" t="s">
        <v>46</v>
      </c>
      <c r="AI9" s="5" t="s">
        <v>47</v>
      </c>
      <c r="AJ9" s="5" t="s">
        <v>48</v>
      </c>
      <c r="AK9" s="5" t="s">
        <v>49</v>
      </c>
      <c r="AL9" s="5" t="s">
        <v>50</v>
      </c>
      <c r="AM9" s="5" t="s">
        <v>51</v>
      </c>
      <c r="AN9" s="5" t="s">
        <v>52</v>
      </c>
      <c r="AO9" s="5" t="s">
        <v>53</v>
      </c>
      <c r="AP9" s="5" t="s">
        <v>54</v>
      </c>
      <c r="AQ9" s="5" t="s">
        <v>55</v>
      </c>
      <c r="AR9" s="5" t="s">
        <v>56</v>
      </c>
      <c r="AS9" s="5" t="s">
        <v>57</v>
      </c>
      <c r="AT9" s="5" t="s">
        <v>58</v>
      </c>
      <c r="AU9" s="5" t="s">
        <v>59</v>
      </c>
      <c r="AV9" s="5" t="s">
        <v>60</v>
      </c>
      <c r="AW9" s="5" t="s">
        <v>61</v>
      </c>
      <c r="AX9" s="5" t="s">
        <v>62</v>
      </c>
      <c r="AY9" s="5" t="s">
        <v>63</v>
      </c>
      <c r="AZ9" s="5" t="s">
        <v>64</v>
      </c>
      <c r="BA9" s="5" t="s">
        <v>65</v>
      </c>
      <c r="BB9" s="5" t="s">
        <v>66</v>
      </c>
      <c r="BC9" s="5" t="s">
        <v>67</v>
      </c>
      <c r="BD9" s="5" t="s">
        <v>68</v>
      </c>
      <c r="BE9" s="5" t="s">
        <v>69</v>
      </c>
      <c r="BF9" s="5" t="s">
        <v>70</v>
      </c>
      <c r="BG9" s="5" t="s">
        <v>71</v>
      </c>
      <c r="BH9" s="5" t="s">
        <v>72</v>
      </c>
      <c r="BI9" s="5" t="s">
        <v>73</v>
      </c>
      <c r="BJ9" s="5" t="s">
        <v>74</v>
      </c>
      <c r="BK9" s="5" t="s">
        <v>75</v>
      </c>
      <c r="BL9" s="5" t="s">
        <v>76</v>
      </c>
      <c r="BM9" s="5" t="s">
        <v>77</v>
      </c>
      <c r="BN9" s="5" t="s">
        <v>78</v>
      </c>
      <c r="BO9" s="37"/>
    </row>
    <row r="10" spans="1:67" ht="30" x14ac:dyDescent="0.25">
      <c r="A10" s="31"/>
      <c r="B10" s="6" t="s">
        <v>79</v>
      </c>
      <c r="C10" s="7" t="s">
        <v>80</v>
      </c>
      <c r="D10" s="8" t="s">
        <v>81</v>
      </c>
      <c r="E10" s="7" t="s">
        <v>82</v>
      </c>
      <c r="F10" s="7" t="s">
        <v>83</v>
      </c>
      <c r="G10" s="7" t="s">
        <v>84</v>
      </c>
      <c r="H10" s="7" t="s">
        <v>85</v>
      </c>
      <c r="I10" s="7" t="s">
        <v>86</v>
      </c>
      <c r="J10" s="7" t="s">
        <v>87</v>
      </c>
      <c r="K10" s="7" t="s">
        <v>88</v>
      </c>
      <c r="L10" s="7" t="s">
        <v>89</v>
      </c>
      <c r="M10" s="7" t="s">
        <v>90</v>
      </c>
      <c r="N10" s="7" t="s">
        <v>91</v>
      </c>
      <c r="O10" s="7" t="s">
        <v>92</v>
      </c>
      <c r="P10" s="7" t="s">
        <v>93</v>
      </c>
      <c r="Q10" s="7" t="s">
        <v>94</v>
      </c>
      <c r="R10" s="7" t="s">
        <v>95</v>
      </c>
      <c r="S10" s="7" t="s">
        <v>96</v>
      </c>
      <c r="T10" s="7" t="s">
        <v>97</v>
      </c>
      <c r="U10" s="8" t="s">
        <v>98</v>
      </c>
      <c r="V10" s="8" t="s">
        <v>99</v>
      </c>
      <c r="W10" s="7" t="s">
        <v>100</v>
      </c>
      <c r="X10" s="7" t="s">
        <v>101</v>
      </c>
      <c r="Y10" s="7" t="s">
        <v>102</v>
      </c>
      <c r="Z10" s="7" t="s">
        <v>103</v>
      </c>
      <c r="AA10" s="7" t="s">
        <v>104</v>
      </c>
      <c r="AB10" s="7" t="s">
        <v>105</v>
      </c>
      <c r="AC10" s="7" t="s">
        <v>106</v>
      </c>
      <c r="AD10" s="7" t="s">
        <v>107</v>
      </c>
      <c r="AE10" s="7" t="s">
        <v>108</v>
      </c>
      <c r="AF10" s="7" t="s">
        <v>109</v>
      </c>
      <c r="AG10" s="7" t="s">
        <v>110</v>
      </c>
      <c r="AH10" s="7" t="s">
        <v>111</v>
      </c>
      <c r="AI10" s="7" t="s">
        <v>112</v>
      </c>
      <c r="AJ10" s="7" t="s">
        <v>113</v>
      </c>
      <c r="AK10" s="8" t="s">
        <v>114</v>
      </c>
      <c r="AL10" s="8" t="s">
        <v>115</v>
      </c>
      <c r="AM10" s="8" t="s">
        <v>116</v>
      </c>
      <c r="AN10" s="8" t="s">
        <v>117</v>
      </c>
      <c r="AO10" s="8" t="s">
        <v>118</v>
      </c>
      <c r="AP10" s="8" t="s">
        <v>119</v>
      </c>
      <c r="AQ10" s="8" t="s">
        <v>120</v>
      </c>
      <c r="AR10" s="8" t="s">
        <v>121</v>
      </c>
      <c r="AS10" s="8" t="s">
        <v>122</v>
      </c>
      <c r="AT10" s="9" t="s">
        <v>123</v>
      </c>
      <c r="AU10" s="9" t="s">
        <v>124</v>
      </c>
      <c r="AV10" s="9" t="s">
        <v>125</v>
      </c>
      <c r="AW10" s="9" t="s">
        <v>126</v>
      </c>
      <c r="AX10" s="9" t="s">
        <v>127</v>
      </c>
      <c r="AY10" s="10" t="s">
        <v>128</v>
      </c>
      <c r="AZ10" s="11" t="s">
        <v>129</v>
      </c>
      <c r="BA10" s="11" t="s">
        <v>130</v>
      </c>
      <c r="BB10" s="11" t="s">
        <v>131</v>
      </c>
      <c r="BC10" s="11" t="s">
        <v>132</v>
      </c>
      <c r="BD10" s="11" t="s">
        <v>133</v>
      </c>
      <c r="BE10" s="12" t="s">
        <v>134</v>
      </c>
      <c r="BF10" s="9" t="s">
        <v>135</v>
      </c>
      <c r="BG10" s="9" t="s">
        <v>136</v>
      </c>
      <c r="BH10" s="9" t="s">
        <v>137</v>
      </c>
      <c r="BI10" s="9" t="s">
        <v>138</v>
      </c>
      <c r="BJ10" s="9" t="s">
        <v>139</v>
      </c>
      <c r="BK10" s="9" t="s">
        <v>140</v>
      </c>
      <c r="BL10" s="9" t="s">
        <v>141</v>
      </c>
      <c r="BM10" s="12"/>
      <c r="BN10" s="12"/>
      <c r="BO10" s="37"/>
    </row>
    <row r="11" spans="1:67" ht="15" x14ac:dyDescent="0.25">
      <c r="A11" s="32"/>
      <c r="B11" s="6" t="s">
        <v>142</v>
      </c>
      <c r="C11" s="13" t="s">
        <v>143</v>
      </c>
      <c r="D11" s="11" t="s">
        <v>144</v>
      </c>
      <c r="E11" s="14" t="s">
        <v>145</v>
      </c>
      <c r="F11" s="7" t="s">
        <v>146</v>
      </c>
      <c r="G11" s="7" t="s">
        <v>147</v>
      </c>
      <c r="H11" s="7" t="s">
        <v>148</v>
      </c>
      <c r="I11" s="7" t="s">
        <v>149</v>
      </c>
      <c r="J11" s="7" t="s">
        <v>150</v>
      </c>
      <c r="K11" s="7" t="s">
        <v>151</v>
      </c>
      <c r="L11" s="7" t="s">
        <v>152</v>
      </c>
      <c r="M11" s="7" t="s">
        <v>153</v>
      </c>
      <c r="N11" s="7" t="s">
        <v>154</v>
      </c>
      <c r="O11" s="7" t="s">
        <v>155</v>
      </c>
      <c r="P11" s="7" t="s">
        <v>156</v>
      </c>
      <c r="Q11" s="7" t="s">
        <v>157</v>
      </c>
      <c r="R11" s="7" t="s">
        <v>158</v>
      </c>
      <c r="S11" s="7" t="s">
        <v>159</v>
      </c>
      <c r="T11" s="7" t="s">
        <v>160</v>
      </c>
      <c r="U11" s="15" t="s">
        <v>161</v>
      </c>
      <c r="V11" s="15" t="s">
        <v>162</v>
      </c>
      <c r="W11" s="7" t="s">
        <v>163</v>
      </c>
      <c r="X11" s="7" t="s">
        <v>164</v>
      </c>
      <c r="Y11" s="7" t="s">
        <v>165</v>
      </c>
      <c r="Z11" s="7" t="s">
        <v>166</v>
      </c>
      <c r="AA11" s="7" t="s">
        <v>167</v>
      </c>
      <c r="AB11" s="7" t="s">
        <v>168</v>
      </c>
      <c r="AC11" s="7" t="s">
        <v>169</v>
      </c>
      <c r="AD11" s="7" t="s">
        <v>170</v>
      </c>
      <c r="AE11" s="7" t="s">
        <v>171</v>
      </c>
      <c r="AF11" s="7" t="s">
        <v>172</v>
      </c>
      <c r="AG11" s="7" t="s">
        <v>173</v>
      </c>
      <c r="AH11" s="7" t="s">
        <v>174</v>
      </c>
      <c r="AI11" s="7" t="s">
        <v>175</v>
      </c>
      <c r="AJ11" s="7" t="s">
        <v>176</v>
      </c>
      <c r="AK11" s="16" t="s">
        <v>177</v>
      </c>
      <c r="AL11" s="16" t="s">
        <v>178</v>
      </c>
      <c r="AM11" s="16" t="s">
        <v>179</v>
      </c>
      <c r="AN11" s="16" t="s">
        <v>180</v>
      </c>
      <c r="AO11" s="16" t="s">
        <v>181</v>
      </c>
      <c r="AP11" s="16" t="s">
        <v>182</v>
      </c>
      <c r="AQ11" s="17" t="s">
        <v>183</v>
      </c>
      <c r="AR11" s="17" t="s">
        <v>184</v>
      </c>
      <c r="AS11" s="17" t="s">
        <v>185</v>
      </c>
      <c r="AT11" s="17" t="s">
        <v>186</v>
      </c>
      <c r="AU11" s="17" t="s">
        <v>187</v>
      </c>
      <c r="AV11" s="17" t="s">
        <v>188</v>
      </c>
      <c r="AW11" s="17" t="s">
        <v>189</v>
      </c>
      <c r="AX11" s="17" t="s">
        <v>190</v>
      </c>
      <c r="AY11" s="16" t="s">
        <v>191</v>
      </c>
      <c r="AZ11" s="16" t="s">
        <v>192</v>
      </c>
      <c r="BA11" s="16" t="s">
        <v>193</v>
      </c>
      <c r="BB11" s="16" t="s">
        <v>194</v>
      </c>
      <c r="BC11" s="16" t="s">
        <v>195</v>
      </c>
      <c r="BD11" s="16" t="s">
        <v>196</v>
      </c>
      <c r="BE11" s="16" t="s">
        <v>197</v>
      </c>
      <c r="BF11" s="16" t="s">
        <v>198</v>
      </c>
      <c r="BG11" s="16" t="s">
        <v>199</v>
      </c>
      <c r="BH11" s="16" t="s">
        <v>200</v>
      </c>
      <c r="BI11" s="16" t="s">
        <v>201</v>
      </c>
      <c r="BJ11" s="16" t="s">
        <v>202</v>
      </c>
      <c r="BK11" s="16" t="s">
        <v>203</v>
      </c>
      <c r="BL11" s="16" t="s">
        <v>204</v>
      </c>
      <c r="BM11" s="16"/>
      <c r="BN11" s="18"/>
      <c r="BO11" s="38"/>
    </row>
    <row r="12" spans="1:67" ht="15.75" x14ac:dyDescent="0.2">
      <c r="A12" s="23">
        <f>DATE(N6,K6,1)</f>
        <v>46204</v>
      </c>
      <c r="B12" s="24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20"/>
      <c r="BJ12" s="20"/>
      <c r="BK12" s="20"/>
      <c r="BL12" s="20"/>
      <c r="BM12" s="20"/>
      <c r="BN12" s="20"/>
      <c r="BO12" s="19"/>
    </row>
    <row r="13" spans="1:67" ht="15.75" x14ac:dyDescent="0.2">
      <c r="A13" s="23">
        <f>A12+1</f>
        <v>46205</v>
      </c>
      <c r="B13" s="24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</row>
    <row r="14" spans="1:67" ht="15.75" x14ac:dyDescent="0.2">
      <c r="A14" s="23">
        <f t="shared" ref="A14:A39" si="0">A13+1</f>
        <v>46206</v>
      </c>
      <c r="B14" s="24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</row>
    <row r="15" spans="1:67" ht="15.75" x14ac:dyDescent="0.2">
      <c r="A15" s="23">
        <f t="shared" si="0"/>
        <v>46207</v>
      </c>
      <c r="B15" s="24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</row>
    <row r="16" spans="1:67" ht="15.75" x14ac:dyDescent="0.2">
      <c r="A16" s="23">
        <f t="shared" si="0"/>
        <v>46208</v>
      </c>
      <c r="B16" s="24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</row>
    <row r="17" spans="1:67" ht="15.75" x14ac:dyDescent="0.2">
      <c r="A17" s="23">
        <f t="shared" si="0"/>
        <v>46209</v>
      </c>
      <c r="B17" s="24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</row>
    <row r="18" spans="1:67" ht="15.75" x14ac:dyDescent="0.2">
      <c r="A18" s="23">
        <f t="shared" si="0"/>
        <v>46210</v>
      </c>
      <c r="B18" s="24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</row>
    <row r="19" spans="1:67" ht="15.75" x14ac:dyDescent="0.2">
      <c r="A19" s="23">
        <f t="shared" si="0"/>
        <v>46211</v>
      </c>
      <c r="B19" s="24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</row>
    <row r="20" spans="1:67" ht="15.75" x14ac:dyDescent="0.2">
      <c r="A20" s="23">
        <f t="shared" si="0"/>
        <v>46212</v>
      </c>
      <c r="B20" s="24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</row>
    <row r="21" spans="1:67" ht="15.75" x14ac:dyDescent="0.2">
      <c r="A21" s="23">
        <f t="shared" si="0"/>
        <v>46213</v>
      </c>
      <c r="B21" s="24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  <c r="BO21" s="19"/>
    </row>
    <row r="22" spans="1:67" ht="15.75" x14ac:dyDescent="0.2">
      <c r="A22" s="23">
        <f t="shared" si="0"/>
        <v>46214</v>
      </c>
      <c r="B22" s="24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</row>
    <row r="23" spans="1:67" ht="15.75" x14ac:dyDescent="0.2">
      <c r="A23" s="23">
        <f t="shared" si="0"/>
        <v>46215</v>
      </c>
      <c r="B23" s="24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</row>
    <row r="24" spans="1:67" ht="15.75" x14ac:dyDescent="0.2">
      <c r="A24" s="23">
        <f t="shared" si="0"/>
        <v>46216</v>
      </c>
      <c r="B24" s="24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</row>
    <row r="25" spans="1:67" ht="15.75" x14ac:dyDescent="0.2">
      <c r="A25" s="23">
        <f t="shared" si="0"/>
        <v>46217</v>
      </c>
      <c r="B25" s="24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/>
      <c r="BO25" s="19"/>
    </row>
    <row r="26" spans="1:67" ht="15.75" x14ac:dyDescent="0.2">
      <c r="A26" s="23">
        <f t="shared" si="0"/>
        <v>46218</v>
      </c>
      <c r="B26" s="24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</row>
    <row r="27" spans="1:67" ht="15.75" x14ac:dyDescent="0.2">
      <c r="A27" s="23">
        <f t="shared" si="0"/>
        <v>46219</v>
      </c>
      <c r="B27" s="24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</row>
    <row r="28" spans="1:67" ht="15.75" x14ac:dyDescent="0.2">
      <c r="A28" s="23">
        <f t="shared" si="0"/>
        <v>46220</v>
      </c>
      <c r="B28" s="24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</row>
    <row r="29" spans="1:67" ht="15.75" x14ac:dyDescent="0.2">
      <c r="A29" s="23">
        <f t="shared" si="0"/>
        <v>46221</v>
      </c>
      <c r="B29" s="24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</row>
    <row r="30" spans="1:67" ht="15.75" x14ac:dyDescent="0.2">
      <c r="A30" s="23">
        <f t="shared" si="0"/>
        <v>46222</v>
      </c>
      <c r="B30" s="24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</row>
    <row r="31" spans="1:67" ht="15.75" x14ac:dyDescent="0.2">
      <c r="A31" s="23">
        <f t="shared" si="0"/>
        <v>46223</v>
      </c>
      <c r="B31" s="24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</row>
    <row r="32" spans="1:67" ht="15.75" x14ac:dyDescent="0.2">
      <c r="A32" s="23">
        <f t="shared" si="0"/>
        <v>46224</v>
      </c>
      <c r="B32" s="24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</row>
    <row r="33" spans="1:67" ht="15.75" x14ac:dyDescent="0.2">
      <c r="A33" s="23">
        <f t="shared" si="0"/>
        <v>46225</v>
      </c>
      <c r="B33" s="24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19"/>
      <c r="BN33" s="19"/>
      <c r="BO33" s="19"/>
    </row>
    <row r="34" spans="1:67" ht="15.75" x14ac:dyDescent="0.2">
      <c r="A34" s="23">
        <f>A33+1</f>
        <v>46226</v>
      </c>
      <c r="B34" s="24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/>
      <c r="BG34" s="19"/>
      <c r="BH34" s="19"/>
      <c r="BI34" s="19"/>
      <c r="BJ34" s="19"/>
      <c r="BK34" s="19"/>
      <c r="BL34" s="19"/>
      <c r="BM34" s="19"/>
      <c r="BN34" s="19"/>
      <c r="BO34" s="19"/>
    </row>
    <row r="35" spans="1:67" ht="15.75" x14ac:dyDescent="0.2">
      <c r="A35" s="23">
        <f t="shared" si="0"/>
        <v>46227</v>
      </c>
      <c r="B35" s="24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/>
      <c r="BG35" s="19"/>
      <c r="BH35" s="19"/>
      <c r="BI35" s="19"/>
      <c r="BJ35" s="19"/>
      <c r="BK35" s="19"/>
      <c r="BL35" s="19"/>
      <c r="BM35" s="19"/>
      <c r="BN35" s="19"/>
      <c r="BO35" s="19"/>
    </row>
    <row r="36" spans="1:67" ht="15.75" x14ac:dyDescent="0.2">
      <c r="A36" s="23">
        <f t="shared" si="0"/>
        <v>46228</v>
      </c>
      <c r="B36" s="24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19"/>
      <c r="BJ36" s="19"/>
      <c r="BK36" s="19"/>
      <c r="BL36" s="19"/>
      <c r="BM36" s="19"/>
      <c r="BN36" s="19"/>
      <c r="BO36" s="19"/>
    </row>
    <row r="37" spans="1:67" ht="15.75" x14ac:dyDescent="0.2">
      <c r="A37" s="23">
        <f t="shared" si="0"/>
        <v>46229</v>
      </c>
      <c r="B37" s="24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19"/>
      <c r="BJ37" s="19"/>
      <c r="BK37" s="19"/>
      <c r="BL37" s="19"/>
      <c r="BM37" s="19"/>
      <c r="BN37" s="19"/>
      <c r="BO37" s="19"/>
    </row>
    <row r="38" spans="1:67" ht="15.75" x14ac:dyDescent="0.2">
      <c r="A38" s="23">
        <f t="shared" si="0"/>
        <v>46230</v>
      </c>
      <c r="B38" s="24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/>
      <c r="BG38" s="19"/>
      <c r="BH38" s="19"/>
      <c r="BI38" s="19"/>
      <c r="BJ38" s="19"/>
      <c r="BK38" s="19"/>
      <c r="BL38" s="19"/>
      <c r="BM38" s="19"/>
      <c r="BN38" s="19"/>
      <c r="BO38" s="19"/>
    </row>
    <row r="39" spans="1:67" ht="15.75" x14ac:dyDescent="0.2">
      <c r="A39" s="23">
        <f t="shared" si="0"/>
        <v>46231</v>
      </c>
      <c r="B39" s="24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/>
      <c r="BG39" s="19"/>
      <c r="BH39" s="19"/>
      <c r="BI39" s="19"/>
      <c r="BJ39" s="19"/>
      <c r="BK39" s="19"/>
      <c r="BL39" s="19"/>
      <c r="BM39" s="19"/>
      <c r="BN39" s="19"/>
      <c r="BO39" s="19"/>
    </row>
    <row r="40" spans="1:67" ht="15.75" x14ac:dyDescent="0.2">
      <c r="A40" s="23">
        <f>IF(A39="","",IF(A39=EOMONTH(DATE($N$6,$K$6,1),0),"",A39+1))</f>
        <v>46232</v>
      </c>
      <c r="B40" s="24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/>
      <c r="BG40" s="19"/>
      <c r="BH40" s="19"/>
      <c r="BI40" s="19"/>
      <c r="BJ40" s="19"/>
      <c r="BK40" s="19"/>
      <c r="BL40" s="19"/>
      <c r="BM40" s="19"/>
      <c r="BN40" s="19"/>
      <c r="BO40" s="19"/>
    </row>
    <row r="41" spans="1:67" ht="15.75" x14ac:dyDescent="0.2">
      <c r="A41" s="23">
        <f>IF(A40="","",IF(A40=EOMONTH(DATE($N$6,$K$6,1),0),"",A40+1))</f>
        <v>46233</v>
      </c>
      <c r="B41" s="24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/>
      <c r="BG41" s="19"/>
      <c r="BH41" s="19"/>
      <c r="BI41" s="19"/>
      <c r="BJ41" s="19"/>
      <c r="BK41" s="19"/>
      <c r="BL41" s="19"/>
      <c r="BM41" s="19"/>
      <c r="BN41" s="19"/>
      <c r="BO41" s="19"/>
    </row>
    <row r="42" spans="1:67" ht="15.75" x14ac:dyDescent="0.2">
      <c r="A42" s="23">
        <f>IF(A41="","",IF(A41=EOMONTH(DATE($N$6,$K$6,1),0),"",A41+1))</f>
        <v>46234</v>
      </c>
      <c r="B42" s="24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/>
      <c r="BG42" s="19"/>
      <c r="BH42" s="19"/>
      <c r="BI42" s="19"/>
      <c r="BJ42" s="19"/>
      <c r="BK42" s="19"/>
      <c r="BL42" s="19"/>
      <c r="BM42" s="19"/>
      <c r="BN42" s="19"/>
      <c r="BO42" s="19"/>
    </row>
    <row r="43" spans="1:67" ht="13.5" x14ac:dyDescent="0.25">
      <c r="A43" s="21" t="s">
        <v>205</v>
      </c>
      <c r="B43" s="25" t="s">
        <v>206</v>
      </c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</row>
    <row r="44" spans="1:67" x14ac:dyDescent="0.2">
      <c r="A44" s="22"/>
      <c r="B44" s="22" t="s">
        <v>207</v>
      </c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 t="s">
        <v>208</v>
      </c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</row>
  </sheetData>
  <mergeCells count="45">
    <mergeCell ref="A1:A3"/>
    <mergeCell ref="B1:M3"/>
    <mergeCell ref="N1:BO1"/>
    <mergeCell ref="N2:P2"/>
    <mergeCell ref="Q2:BN2"/>
    <mergeCell ref="N3:P3"/>
    <mergeCell ref="Q3:BN3"/>
    <mergeCell ref="A4:BO4"/>
    <mergeCell ref="A5:BO5"/>
    <mergeCell ref="N6:O6"/>
    <mergeCell ref="A8:A11"/>
    <mergeCell ref="B8:P8"/>
    <mergeCell ref="BO8:BO11"/>
    <mergeCell ref="A23:B23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35:B35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42:B42"/>
    <mergeCell ref="B43:N43"/>
    <mergeCell ref="A36:B36"/>
    <mergeCell ref="A37:B37"/>
    <mergeCell ref="A38:B38"/>
    <mergeCell ref="A39:B39"/>
    <mergeCell ref="A40:B40"/>
    <mergeCell ref="A41:B41"/>
  </mergeCells>
  <conditionalFormatting sqref="AR10">
    <cfRule type="duplicateValues" dxfId="11" priority="2"/>
  </conditionalFormatting>
  <conditionalFormatting sqref="AS10">
    <cfRule type="duplicateValues" dxfId="10" priority="1"/>
  </conditionalFormatting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171" r:id="rId3" name="Spinner 3">
              <controlPr defaultSize="0" autoPict="0">
                <anchor moveWithCells="1" sizeWithCells="1">
                  <from>
                    <xdr:col>11</xdr:col>
                    <xdr:colOff>19050</xdr:colOff>
                    <xdr:row>4</xdr:row>
                    <xdr:rowOff>123825</xdr:rowOff>
                  </from>
                  <to>
                    <xdr:col>11</xdr:col>
                    <xdr:colOff>342900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2" r:id="rId4" name="Spinner 4">
              <controlPr defaultSize="0" autoPict="0">
                <anchor moveWithCells="1" sizeWithCells="1">
                  <from>
                    <xdr:col>15</xdr:col>
                    <xdr:colOff>0</xdr:colOff>
                    <xdr:row>4</xdr:row>
                    <xdr:rowOff>123825</xdr:rowOff>
                  </from>
                  <to>
                    <xdr:col>15</xdr:col>
                    <xdr:colOff>323850</xdr:colOff>
                    <xdr:row>6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autoPageBreaks="0"/>
  </sheetPr>
  <dimension ref="A1:BO44"/>
  <sheetViews>
    <sheetView zoomScale="70" zoomScaleNormal="70" workbookViewId="0">
      <selection activeCell="J30" sqref="J30"/>
    </sheetView>
  </sheetViews>
  <sheetFormatPr defaultRowHeight="12.75" x14ac:dyDescent="0.2"/>
  <cols>
    <col min="1" max="2" width="23.5" bestFit="1" customWidth="1"/>
    <col min="3" max="3" width="31.6640625" bestFit="1" customWidth="1"/>
    <col min="4" max="4" width="47" bestFit="1" customWidth="1"/>
    <col min="5" max="5" width="40.6640625" bestFit="1" customWidth="1"/>
    <col min="6" max="6" width="32.83203125" bestFit="1" customWidth="1"/>
    <col min="7" max="7" width="32" bestFit="1" customWidth="1"/>
    <col min="8" max="13" width="32.5" bestFit="1" customWidth="1"/>
    <col min="14" max="14" width="34.5" bestFit="1" customWidth="1"/>
    <col min="15" max="15" width="34.1640625" bestFit="1" customWidth="1"/>
    <col min="16" max="16" width="33.6640625" bestFit="1" customWidth="1"/>
    <col min="17" max="17" width="25.6640625" bestFit="1" customWidth="1"/>
    <col min="18" max="19" width="25" bestFit="1" customWidth="1"/>
    <col min="20" max="20" width="35.1640625" bestFit="1" customWidth="1"/>
    <col min="21" max="22" width="37.5" bestFit="1" customWidth="1"/>
    <col min="23" max="23" width="42.5" bestFit="1" customWidth="1"/>
    <col min="24" max="25" width="41.83203125" bestFit="1" customWidth="1"/>
    <col min="26" max="26" width="39.6640625" bestFit="1" customWidth="1"/>
    <col min="27" max="27" width="39" bestFit="1" customWidth="1"/>
    <col min="28" max="34" width="40.1640625" bestFit="1" customWidth="1"/>
    <col min="35" max="35" width="39.6640625" bestFit="1" customWidth="1"/>
    <col min="36" max="36" width="28.5" bestFit="1" customWidth="1"/>
    <col min="37" max="38" width="47.83203125" bestFit="1" customWidth="1"/>
    <col min="39" max="39" width="49" bestFit="1" customWidth="1"/>
    <col min="40" max="40" width="49.5" bestFit="1" customWidth="1"/>
    <col min="41" max="41" width="46.33203125" bestFit="1" customWidth="1"/>
    <col min="42" max="42" width="46.6640625" bestFit="1" customWidth="1"/>
    <col min="43" max="43" width="34" bestFit="1" customWidth="1"/>
    <col min="44" max="45" width="26.6640625" bestFit="1" customWidth="1"/>
    <col min="46" max="47" width="30.33203125" bestFit="1" customWidth="1"/>
    <col min="48" max="48" width="35.83203125" bestFit="1" customWidth="1"/>
    <col min="49" max="49" width="37" bestFit="1" customWidth="1"/>
    <col min="50" max="50" width="33.33203125" bestFit="1" customWidth="1"/>
    <col min="51" max="51" width="34.1640625" bestFit="1" customWidth="1"/>
    <col min="52" max="52" width="33.5" bestFit="1" customWidth="1"/>
    <col min="53" max="54" width="36.6640625" bestFit="1" customWidth="1"/>
    <col min="55" max="56" width="43.33203125" bestFit="1" customWidth="1"/>
    <col min="57" max="57" width="41.6640625" bestFit="1" customWidth="1"/>
    <col min="58" max="58" width="44.1640625" bestFit="1" customWidth="1"/>
    <col min="59" max="59" width="32" bestFit="1" customWidth="1"/>
    <col min="60" max="60" width="39.1640625" bestFit="1" customWidth="1"/>
    <col min="61" max="61" width="35.6640625" bestFit="1" customWidth="1"/>
    <col min="62" max="62" width="30.6640625" bestFit="1" customWidth="1"/>
    <col min="63" max="63" width="44" bestFit="1" customWidth="1"/>
    <col min="64" max="64" width="39" bestFit="1" customWidth="1"/>
    <col min="65" max="66" width="6.83203125" bestFit="1" customWidth="1"/>
    <col min="67" max="67" width="14.6640625" bestFit="1" customWidth="1"/>
  </cols>
  <sheetData>
    <row r="1" spans="1:67" x14ac:dyDescent="0.2">
      <c r="A1" s="39" t="s">
        <v>0</v>
      </c>
      <c r="B1" s="40" t="s">
        <v>1</v>
      </c>
      <c r="C1" s="41"/>
      <c r="D1" s="41"/>
      <c r="E1" s="41"/>
      <c r="F1" s="41"/>
      <c r="G1" s="41"/>
      <c r="H1" s="41"/>
      <c r="I1" s="41"/>
      <c r="J1" s="41"/>
      <c r="K1" s="41"/>
      <c r="L1" s="41"/>
      <c r="M1" s="42"/>
      <c r="N1" s="49" t="s">
        <v>2</v>
      </c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  <c r="AJ1" s="50"/>
      <c r="AK1" s="50"/>
      <c r="AL1" s="50"/>
      <c r="AM1" s="50"/>
      <c r="AN1" s="50"/>
      <c r="AO1" s="50"/>
      <c r="AP1" s="50"/>
      <c r="AQ1" s="50"/>
      <c r="AR1" s="50"/>
      <c r="AS1" s="50"/>
      <c r="AT1" s="50"/>
      <c r="AU1" s="50"/>
      <c r="AV1" s="50"/>
      <c r="AW1" s="50"/>
      <c r="AX1" s="50"/>
      <c r="AY1" s="50"/>
      <c r="AZ1" s="50"/>
      <c r="BA1" s="50"/>
      <c r="BB1" s="50"/>
      <c r="BC1" s="50"/>
      <c r="BD1" s="50"/>
      <c r="BE1" s="50"/>
      <c r="BF1" s="50"/>
      <c r="BG1" s="50"/>
      <c r="BH1" s="50"/>
      <c r="BI1" s="50"/>
      <c r="BJ1" s="50"/>
      <c r="BK1" s="50"/>
      <c r="BL1" s="50"/>
      <c r="BM1" s="50"/>
      <c r="BN1" s="50"/>
      <c r="BO1" s="51"/>
    </row>
    <row r="2" spans="1:67" x14ac:dyDescent="0.2">
      <c r="A2" s="39"/>
      <c r="B2" s="43"/>
      <c r="C2" s="44"/>
      <c r="D2" s="44"/>
      <c r="E2" s="44"/>
      <c r="F2" s="44"/>
      <c r="G2" s="44"/>
      <c r="H2" s="44"/>
      <c r="I2" s="44"/>
      <c r="J2" s="44"/>
      <c r="K2" s="44"/>
      <c r="L2" s="44"/>
      <c r="M2" s="45"/>
      <c r="N2" s="49" t="s">
        <v>3</v>
      </c>
      <c r="O2" s="50"/>
      <c r="P2" s="51"/>
      <c r="Q2" s="49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50"/>
      <c r="AO2" s="50"/>
      <c r="AP2" s="50"/>
      <c r="AQ2" s="50"/>
      <c r="AR2" s="50"/>
      <c r="AS2" s="50"/>
      <c r="AT2" s="50"/>
      <c r="AU2" s="50"/>
      <c r="AV2" s="50"/>
      <c r="AW2" s="50"/>
      <c r="AX2" s="50"/>
      <c r="AY2" s="50"/>
      <c r="AZ2" s="50"/>
      <c r="BA2" s="50"/>
      <c r="BB2" s="50"/>
      <c r="BC2" s="50"/>
      <c r="BD2" s="50"/>
      <c r="BE2" s="50"/>
      <c r="BF2" s="50"/>
      <c r="BG2" s="50"/>
      <c r="BH2" s="50"/>
      <c r="BI2" s="50"/>
      <c r="BJ2" s="50"/>
      <c r="BK2" s="50"/>
      <c r="BL2" s="50"/>
      <c r="BM2" s="50"/>
      <c r="BN2" s="51"/>
      <c r="BO2" s="1" t="s">
        <v>4</v>
      </c>
    </row>
    <row r="3" spans="1:67" x14ac:dyDescent="0.2">
      <c r="A3" s="39"/>
      <c r="B3" s="46"/>
      <c r="C3" s="47"/>
      <c r="D3" s="47"/>
      <c r="E3" s="47"/>
      <c r="F3" s="47"/>
      <c r="G3" s="47"/>
      <c r="H3" s="47"/>
      <c r="I3" s="47"/>
      <c r="J3" s="47"/>
      <c r="K3" s="47"/>
      <c r="L3" s="47"/>
      <c r="M3" s="48"/>
      <c r="N3" s="49" t="s">
        <v>5</v>
      </c>
      <c r="O3" s="50"/>
      <c r="P3" s="51"/>
      <c r="Q3" s="49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/>
      <c r="AS3" s="50"/>
      <c r="AT3" s="50"/>
      <c r="AU3" s="50"/>
      <c r="AV3" s="50"/>
      <c r="AW3" s="50"/>
      <c r="AX3" s="50"/>
      <c r="AY3" s="50"/>
      <c r="AZ3" s="50"/>
      <c r="BA3" s="50"/>
      <c r="BB3" s="50"/>
      <c r="BC3" s="50"/>
      <c r="BD3" s="50"/>
      <c r="BE3" s="50"/>
      <c r="BF3" s="50"/>
      <c r="BG3" s="50"/>
      <c r="BH3" s="50"/>
      <c r="BI3" s="50"/>
      <c r="BJ3" s="50"/>
      <c r="BK3" s="50"/>
      <c r="BL3" s="50"/>
      <c r="BM3" s="50"/>
      <c r="BN3" s="51"/>
      <c r="BO3" s="1" t="s">
        <v>6</v>
      </c>
    </row>
    <row r="4" spans="1:67" x14ac:dyDescent="0.2">
      <c r="A4" s="26" t="s">
        <v>7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8"/>
    </row>
    <row r="5" spans="1:67" ht="18.75" x14ac:dyDescent="0.2">
      <c r="A5" s="29"/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</row>
    <row r="6" spans="1:67" ht="15.75" x14ac:dyDescent="0.25">
      <c r="A6" s="2" t="s">
        <v>8</v>
      </c>
      <c r="B6" s="3"/>
      <c r="C6" s="3"/>
      <c r="D6" s="3"/>
      <c r="E6" s="3"/>
      <c r="F6" s="3"/>
      <c r="G6" s="3"/>
      <c r="H6" s="3"/>
      <c r="I6" s="3"/>
      <c r="J6" s="3" t="s">
        <v>9</v>
      </c>
      <c r="K6" s="3">
        <v>8</v>
      </c>
      <c r="L6" s="3"/>
      <c r="M6" s="3" t="s">
        <v>10</v>
      </c>
      <c r="N6" s="30">
        <v>2026</v>
      </c>
      <c r="O6" s="30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</row>
    <row r="7" spans="1:67" ht="15.7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</row>
    <row r="8" spans="1:67" ht="15.75" x14ac:dyDescent="0.25">
      <c r="A8" s="31" t="s">
        <v>11</v>
      </c>
      <c r="B8" s="33" t="s">
        <v>12</v>
      </c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5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36" t="s">
        <v>13</v>
      </c>
    </row>
    <row r="9" spans="1:67" x14ac:dyDescent="0.2">
      <c r="A9" s="31"/>
      <c r="B9" s="5" t="s">
        <v>14</v>
      </c>
      <c r="C9" s="5" t="s">
        <v>15</v>
      </c>
      <c r="D9" s="5" t="s">
        <v>16</v>
      </c>
      <c r="E9" s="5" t="s">
        <v>17</v>
      </c>
      <c r="F9" s="5" t="s">
        <v>18</v>
      </c>
      <c r="G9" s="5" t="s">
        <v>19</v>
      </c>
      <c r="H9" s="5" t="s">
        <v>20</v>
      </c>
      <c r="I9" s="5" t="s">
        <v>21</v>
      </c>
      <c r="J9" s="5" t="s">
        <v>22</v>
      </c>
      <c r="K9" s="5" t="s">
        <v>23</v>
      </c>
      <c r="L9" s="5" t="s">
        <v>24</v>
      </c>
      <c r="M9" s="5" t="s">
        <v>25</v>
      </c>
      <c r="N9" s="5" t="s">
        <v>26</v>
      </c>
      <c r="O9" s="5" t="s">
        <v>27</v>
      </c>
      <c r="P9" s="5" t="s">
        <v>28</v>
      </c>
      <c r="Q9" s="5" t="s">
        <v>29</v>
      </c>
      <c r="R9" s="5" t="s">
        <v>30</v>
      </c>
      <c r="S9" s="5" t="s">
        <v>31</v>
      </c>
      <c r="T9" s="5" t="s">
        <v>32</v>
      </c>
      <c r="U9" s="5" t="s">
        <v>33</v>
      </c>
      <c r="V9" s="5" t="s">
        <v>34</v>
      </c>
      <c r="W9" s="5" t="s">
        <v>35</v>
      </c>
      <c r="X9" s="5" t="s">
        <v>36</v>
      </c>
      <c r="Y9" s="5" t="s">
        <v>37</v>
      </c>
      <c r="Z9" s="5" t="s">
        <v>38</v>
      </c>
      <c r="AA9" s="5" t="s">
        <v>39</v>
      </c>
      <c r="AB9" s="5" t="s">
        <v>40</v>
      </c>
      <c r="AC9" s="5" t="s">
        <v>41</v>
      </c>
      <c r="AD9" s="5" t="s">
        <v>42</v>
      </c>
      <c r="AE9" s="5" t="s">
        <v>43</v>
      </c>
      <c r="AF9" s="5" t="s">
        <v>44</v>
      </c>
      <c r="AG9" s="5" t="s">
        <v>45</v>
      </c>
      <c r="AH9" s="5" t="s">
        <v>46</v>
      </c>
      <c r="AI9" s="5" t="s">
        <v>47</v>
      </c>
      <c r="AJ9" s="5" t="s">
        <v>48</v>
      </c>
      <c r="AK9" s="5" t="s">
        <v>49</v>
      </c>
      <c r="AL9" s="5" t="s">
        <v>50</v>
      </c>
      <c r="AM9" s="5" t="s">
        <v>51</v>
      </c>
      <c r="AN9" s="5" t="s">
        <v>52</v>
      </c>
      <c r="AO9" s="5" t="s">
        <v>53</v>
      </c>
      <c r="AP9" s="5" t="s">
        <v>54</v>
      </c>
      <c r="AQ9" s="5" t="s">
        <v>55</v>
      </c>
      <c r="AR9" s="5" t="s">
        <v>56</v>
      </c>
      <c r="AS9" s="5" t="s">
        <v>57</v>
      </c>
      <c r="AT9" s="5" t="s">
        <v>58</v>
      </c>
      <c r="AU9" s="5" t="s">
        <v>59</v>
      </c>
      <c r="AV9" s="5" t="s">
        <v>60</v>
      </c>
      <c r="AW9" s="5" t="s">
        <v>61</v>
      </c>
      <c r="AX9" s="5" t="s">
        <v>62</v>
      </c>
      <c r="AY9" s="5" t="s">
        <v>63</v>
      </c>
      <c r="AZ9" s="5" t="s">
        <v>64</v>
      </c>
      <c r="BA9" s="5" t="s">
        <v>65</v>
      </c>
      <c r="BB9" s="5" t="s">
        <v>66</v>
      </c>
      <c r="BC9" s="5" t="s">
        <v>67</v>
      </c>
      <c r="BD9" s="5" t="s">
        <v>68</v>
      </c>
      <c r="BE9" s="5" t="s">
        <v>69</v>
      </c>
      <c r="BF9" s="5" t="s">
        <v>70</v>
      </c>
      <c r="BG9" s="5" t="s">
        <v>71</v>
      </c>
      <c r="BH9" s="5" t="s">
        <v>72</v>
      </c>
      <c r="BI9" s="5" t="s">
        <v>73</v>
      </c>
      <c r="BJ9" s="5" t="s">
        <v>74</v>
      </c>
      <c r="BK9" s="5" t="s">
        <v>75</v>
      </c>
      <c r="BL9" s="5" t="s">
        <v>76</v>
      </c>
      <c r="BM9" s="5" t="s">
        <v>77</v>
      </c>
      <c r="BN9" s="5" t="s">
        <v>78</v>
      </c>
      <c r="BO9" s="37"/>
    </row>
    <row r="10" spans="1:67" ht="30" x14ac:dyDescent="0.25">
      <c r="A10" s="31"/>
      <c r="B10" s="6" t="s">
        <v>79</v>
      </c>
      <c r="C10" s="7" t="s">
        <v>80</v>
      </c>
      <c r="D10" s="8" t="s">
        <v>81</v>
      </c>
      <c r="E10" s="7" t="s">
        <v>82</v>
      </c>
      <c r="F10" s="7" t="s">
        <v>83</v>
      </c>
      <c r="G10" s="7" t="s">
        <v>84</v>
      </c>
      <c r="H10" s="7" t="s">
        <v>85</v>
      </c>
      <c r="I10" s="7" t="s">
        <v>86</v>
      </c>
      <c r="J10" s="7" t="s">
        <v>87</v>
      </c>
      <c r="K10" s="7" t="s">
        <v>88</v>
      </c>
      <c r="L10" s="7" t="s">
        <v>89</v>
      </c>
      <c r="M10" s="7" t="s">
        <v>90</v>
      </c>
      <c r="N10" s="7" t="s">
        <v>91</v>
      </c>
      <c r="O10" s="7" t="s">
        <v>92</v>
      </c>
      <c r="P10" s="7" t="s">
        <v>93</v>
      </c>
      <c r="Q10" s="7" t="s">
        <v>94</v>
      </c>
      <c r="R10" s="7" t="s">
        <v>95</v>
      </c>
      <c r="S10" s="7" t="s">
        <v>96</v>
      </c>
      <c r="T10" s="7" t="s">
        <v>97</v>
      </c>
      <c r="U10" s="8" t="s">
        <v>98</v>
      </c>
      <c r="V10" s="8" t="s">
        <v>99</v>
      </c>
      <c r="W10" s="7" t="s">
        <v>100</v>
      </c>
      <c r="X10" s="7" t="s">
        <v>101</v>
      </c>
      <c r="Y10" s="7" t="s">
        <v>102</v>
      </c>
      <c r="Z10" s="7" t="s">
        <v>103</v>
      </c>
      <c r="AA10" s="7" t="s">
        <v>104</v>
      </c>
      <c r="AB10" s="7" t="s">
        <v>105</v>
      </c>
      <c r="AC10" s="7" t="s">
        <v>106</v>
      </c>
      <c r="AD10" s="7" t="s">
        <v>107</v>
      </c>
      <c r="AE10" s="7" t="s">
        <v>108</v>
      </c>
      <c r="AF10" s="7" t="s">
        <v>109</v>
      </c>
      <c r="AG10" s="7" t="s">
        <v>110</v>
      </c>
      <c r="AH10" s="7" t="s">
        <v>111</v>
      </c>
      <c r="AI10" s="7" t="s">
        <v>112</v>
      </c>
      <c r="AJ10" s="7" t="s">
        <v>113</v>
      </c>
      <c r="AK10" s="8" t="s">
        <v>114</v>
      </c>
      <c r="AL10" s="8" t="s">
        <v>115</v>
      </c>
      <c r="AM10" s="8" t="s">
        <v>116</v>
      </c>
      <c r="AN10" s="8" t="s">
        <v>117</v>
      </c>
      <c r="AO10" s="8" t="s">
        <v>118</v>
      </c>
      <c r="AP10" s="8" t="s">
        <v>119</v>
      </c>
      <c r="AQ10" s="8" t="s">
        <v>120</v>
      </c>
      <c r="AR10" s="8" t="s">
        <v>121</v>
      </c>
      <c r="AS10" s="8" t="s">
        <v>122</v>
      </c>
      <c r="AT10" s="9" t="s">
        <v>123</v>
      </c>
      <c r="AU10" s="9" t="s">
        <v>124</v>
      </c>
      <c r="AV10" s="9" t="s">
        <v>125</v>
      </c>
      <c r="AW10" s="9" t="s">
        <v>126</v>
      </c>
      <c r="AX10" s="9" t="s">
        <v>127</v>
      </c>
      <c r="AY10" s="10" t="s">
        <v>128</v>
      </c>
      <c r="AZ10" s="11" t="s">
        <v>129</v>
      </c>
      <c r="BA10" s="11" t="s">
        <v>130</v>
      </c>
      <c r="BB10" s="11" t="s">
        <v>131</v>
      </c>
      <c r="BC10" s="11" t="s">
        <v>132</v>
      </c>
      <c r="BD10" s="11" t="s">
        <v>133</v>
      </c>
      <c r="BE10" s="12" t="s">
        <v>134</v>
      </c>
      <c r="BF10" s="9" t="s">
        <v>135</v>
      </c>
      <c r="BG10" s="9" t="s">
        <v>136</v>
      </c>
      <c r="BH10" s="9" t="s">
        <v>137</v>
      </c>
      <c r="BI10" s="9" t="s">
        <v>138</v>
      </c>
      <c r="BJ10" s="9" t="s">
        <v>139</v>
      </c>
      <c r="BK10" s="9" t="s">
        <v>140</v>
      </c>
      <c r="BL10" s="9" t="s">
        <v>141</v>
      </c>
      <c r="BM10" s="12"/>
      <c r="BN10" s="12"/>
      <c r="BO10" s="37"/>
    </row>
    <row r="11" spans="1:67" ht="15" x14ac:dyDescent="0.25">
      <c r="A11" s="32"/>
      <c r="B11" s="6" t="s">
        <v>142</v>
      </c>
      <c r="C11" s="13" t="s">
        <v>143</v>
      </c>
      <c r="D11" s="11" t="s">
        <v>144</v>
      </c>
      <c r="E11" s="14" t="s">
        <v>145</v>
      </c>
      <c r="F11" s="7" t="s">
        <v>146</v>
      </c>
      <c r="G11" s="7" t="s">
        <v>147</v>
      </c>
      <c r="H11" s="7" t="s">
        <v>148</v>
      </c>
      <c r="I11" s="7" t="s">
        <v>149</v>
      </c>
      <c r="J11" s="7" t="s">
        <v>150</v>
      </c>
      <c r="K11" s="7" t="s">
        <v>151</v>
      </c>
      <c r="L11" s="7" t="s">
        <v>152</v>
      </c>
      <c r="M11" s="7" t="s">
        <v>153</v>
      </c>
      <c r="N11" s="7" t="s">
        <v>154</v>
      </c>
      <c r="O11" s="7" t="s">
        <v>155</v>
      </c>
      <c r="P11" s="7" t="s">
        <v>156</v>
      </c>
      <c r="Q11" s="7" t="s">
        <v>157</v>
      </c>
      <c r="R11" s="7" t="s">
        <v>158</v>
      </c>
      <c r="S11" s="7" t="s">
        <v>159</v>
      </c>
      <c r="T11" s="7" t="s">
        <v>160</v>
      </c>
      <c r="U11" s="15" t="s">
        <v>161</v>
      </c>
      <c r="V11" s="15" t="s">
        <v>162</v>
      </c>
      <c r="W11" s="7" t="s">
        <v>163</v>
      </c>
      <c r="X11" s="7" t="s">
        <v>164</v>
      </c>
      <c r="Y11" s="7" t="s">
        <v>165</v>
      </c>
      <c r="Z11" s="7" t="s">
        <v>166</v>
      </c>
      <c r="AA11" s="7" t="s">
        <v>167</v>
      </c>
      <c r="AB11" s="7" t="s">
        <v>168</v>
      </c>
      <c r="AC11" s="7" t="s">
        <v>169</v>
      </c>
      <c r="AD11" s="7" t="s">
        <v>170</v>
      </c>
      <c r="AE11" s="7" t="s">
        <v>171</v>
      </c>
      <c r="AF11" s="7" t="s">
        <v>172</v>
      </c>
      <c r="AG11" s="7" t="s">
        <v>173</v>
      </c>
      <c r="AH11" s="7" t="s">
        <v>174</v>
      </c>
      <c r="AI11" s="7" t="s">
        <v>175</v>
      </c>
      <c r="AJ11" s="7" t="s">
        <v>176</v>
      </c>
      <c r="AK11" s="16" t="s">
        <v>177</v>
      </c>
      <c r="AL11" s="16" t="s">
        <v>178</v>
      </c>
      <c r="AM11" s="16" t="s">
        <v>179</v>
      </c>
      <c r="AN11" s="16" t="s">
        <v>180</v>
      </c>
      <c r="AO11" s="16" t="s">
        <v>181</v>
      </c>
      <c r="AP11" s="16" t="s">
        <v>182</v>
      </c>
      <c r="AQ11" s="17" t="s">
        <v>183</v>
      </c>
      <c r="AR11" s="17" t="s">
        <v>184</v>
      </c>
      <c r="AS11" s="17" t="s">
        <v>185</v>
      </c>
      <c r="AT11" s="17" t="s">
        <v>186</v>
      </c>
      <c r="AU11" s="17" t="s">
        <v>187</v>
      </c>
      <c r="AV11" s="17" t="s">
        <v>188</v>
      </c>
      <c r="AW11" s="17" t="s">
        <v>189</v>
      </c>
      <c r="AX11" s="17" t="s">
        <v>190</v>
      </c>
      <c r="AY11" s="16" t="s">
        <v>191</v>
      </c>
      <c r="AZ11" s="16" t="s">
        <v>192</v>
      </c>
      <c r="BA11" s="16" t="s">
        <v>193</v>
      </c>
      <c r="BB11" s="16" t="s">
        <v>194</v>
      </c>
      <c r="BC11" s="16" t="s">
        <v>195</v>
      </c>
      <c r="BD11" s="16" t="s">
        <v>196</v>
      </c>
      <c r="BE11" s="16" t="s">
        <v>197</v>
      </c>
      <c r="BF11" s="16" t="s">
        <v>198</v>
      </c>
      <c r="BG11" s="16" t="s">
        <v>199</v>
      </c>
      <c r="BH11" s="16" t="s">
        <v>200</v>
      </c>
      <c r="BI11" s="16" t="s">
        <v>201</v>
      </c>
      <c r="BJ11" s="16" t="s">
        <v>202</v>
      </c>
      <c r="BK11" s="16" t="s">
        <v>203</v>
      </c>
      <c r="BL11" s="16" t="s">
        <v>204</v>
      </c>
      <c r="BM11" s="16"/>
      <c r="BN11" s="18"/>
      <c r="BO11" s="38"/>
    </row>
    <row r="12" spans="1:67" ht="15.75" x14ac:dyDescent="0.2">
      <c r="A12" s="23">
        <f>DATE(N6,K6,1)</f>
        <v>46235</v>
      </c>
      <c r="B12" s="24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20"/>
      <c r="BJ12" s="20"/>
      <c r="BK12" s="20"/>
      <c r="BL12" s="20"/>
      <c r="BM12" s="20"/>
      <c r="BN12" s="20"/>
      <c r="BO12" s="19"/>
    </row>
    <row r="13" spans="1:67" ht="15.75" x14ac:dyDescent="0.2">
      <c r="A13" s="23">
        <f>A12+1</f>
        <v>46236</v>
      </c>
      <c r="B13" s="24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</row>
    <row r="14" spans="1:67" ht="15.75" x14ac:dyDescent="0.2">
      <c r="A14" s="23">
        <f t="shared" ref="A14:A39" si="0">A13+1</f>
        <v>46237</v>
      </c>
      <c r="B14" s="24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</row>
    <row r="15" spans="1:67" ht="15.75" x14ac:dyDescent="0.2">
      <c r="A15" s="23">
        <f t="shared" si="0"/>
        <v>46238</v>
      </c>
      <c r="B15" s="24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</row>
    <row r="16" spans="1:67" ht="15.75" x14ac:dyDescent="0.2">
      <c r="A16" s="23">
        <f t="shared" si="0"/>
        <v>46239</v>
      </c>
      <c r="B16" s="24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</row>
    <row r="17" spans="1:67" ht="15.75" x14ac:dyDescent="0.2">
      <c r="A17" s="23">
        <f t="shared" si="0"/>
        <v>46240</v>
      </c>
      <c r="B17" s="24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</row>
    <row r="18" spans="1:67" ht="15.75" x14ac:dyDescent="0.2">
      <c r="A18" s="23">
        <f t="shared" si="0"/>
        <v>46241</v>
      </c>
      <c r="B18" s="24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</row>
    <row r="19" spans="1:67" ht="15.75" x14ac:dyDescent="0.2">
      <c r="A19" s="23">
        <f t="shared" si="0"/>
        <v>46242</v>
      </c>
      <c r="B19" s="24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</row>
    <row r="20" spans="1:67" ht="15.75" x14ac:dyDescent="0.2">
      <c r="A20" s="23">
        <f t="shared" si="0"/>
        <v>46243</v>
      </c>
      <c r="B20" s="24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</row>
    <row r="21" spans="1:67" ht="15.75" x14ac:dyDescent="0.2">
      <c r="A21" s="23">
        <f t="shared" si="0"/>
        <v>46244</v>
      </c>
      <c r="B21" s="24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  <c r="BO21" s="19"/>
    </row>
    <row r="22" spans="1:67" ht="15.75" x14ac:dyDescent="0.2">
      <c r="A22" s="23">
        <f t="shared" si="0"/>
        <v>46245</v>
      </c>
      <c r="B22" s="24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</row>
    <row r="23" spans="1:67" ht="15.75" x14ac:dyDescent="0.2">
      <c r="A23" s="23">
        <f t="shared" si="0"/>
        <v>46246</v>
      </c>
      <c r="B23" s="24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</row>
    <row r="24" spans="1:67" ht="15.75" x14ac:dyDescent="0.2">
      <c r="A24" s="23">
        <f t="shared" si="0"/>
        <v>46247</v>
      </c>
      <c r="B24" s="24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</row>
    <row r="25" spans="1:67" ht="15.75" x14ac:dyDescent="0.2">
      <c r="A25" s="23">
        <f t="shared" si="0"/>
        <v>46248</v>
      </c>
      <c r="B25" s="24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/>
      <c r="BO25" s="19"/>
    </row>
    <row r="26" spans="1:67" ht="15.75" x14ac:dyDescent="0.2">
      <c r="A26" s="23">
        <f t="shared" si="0"/>
        <v>46249</v>
      </c>
      <c r="B26" s="24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</row>
    <row r="27" spans="1:67" ht="15.75" x14ac:dyDescent="0.2">
      <c r="A27" s="23">
        <f t="shared" si="0"/>
        <v>46250</v>
      </c>
      <c r="B27" s="24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</row>
    <row r="28" spans="1:67" ht="15.75" x14ac:dyDescent="0.2">
      <c r="A28" s="23">
        <f t="shared" si="0"/>
        <v>46251</v>
      </c>
      <c r="B28" s="24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</row>
    <row r="29" spans="1:67" ht="15.75" x14ac:dyDescent="0.2">
      <c r="A29" s="23">
        <f t="shared" si="0"/>
        <v>46252</v>
      </c>
      <c r="B29" s="24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</row>
    <row r="30" spans="1:67" ht="15.75" x14ac:dyDescent="0.2">
      <c r="A30" s="23">
        <f t="shared" si="0"/>
        <v>46253</v>
      </c>
      <c r="B30" s="24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</row>
    <row r="31" spans="1:67" ht="15.75" x14ac:dyDescent="0.2">
      <c r="A31" s="23">
        <f t="shared" si="0"/>
        <v>46254</v>
      </c>
      <c r="B31" s="24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</row>
    <row r="32" spans="1:67" ht="15.75" x14ac:dyDescent="0.2">
      <c r="A32" s="23">
        <f t="shared" si="0"/>
        <v>46255</v>
      </c>
      <c r="B32" s="24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</row>
    <row r="33" spans="1:67" ht="15.75" x14ac:dyDescent="0.2">
      <c r="A33" s="23">
        <f t="shared" si="0"/>
        <v>46256</v>
      </c>
      <c r="B33" s="24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19"/>
      <c r="BN33" s="19"/>
      <c r="BO33" s="19"/>
    </row>
    <row r="34" spans="1:67" ht="15.75" x14ac:dyDescent="0.2">
      <c r="A34" s="23">
        <f>A33+1</f>
        <v>46257</v>
      </c>
      <c r="B34" s="24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/>
      <c r="BG34" s="19"/>
      <c r="BH34" s="19"/>
      <c r="BI34" s="19"/>
      <c r="BJ34" s="19"/>
      <c r="BK34" s="19"/>
      <c r="BL34" s="19"/>
      <c r="BM34" s="19"/>
      <c r="BN34" s="19"/>
      <c r="BO34" s="19"/>
    </row>
    <row r="35" spans="1:67" ht="15.75" x14ac:dyDescent="0.2">
      <c r="A35" s="23">
        <f t="shared" si="0"/>
        <v>46258</v>
      </c>
      <c r="B35" s="24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/>
      <c r="BG35" s="19"/>
      <c r="BH35" s="19"/>
      <c r="BI35" s="19"/>
      <c r="BJ35" s="19"/>
      <c r="BK35" s="19"/>
      <c r="BL35" s="19"/>
      <c r="BM35" s="19"/>
      <c r="BN35" s="19"/>
      <c r="BO35" s="19"/>
    </row>
    <row r="36" spans="1:67" ht="15.75" x14ac:dyDescent="0.2">
      <c r="A36" s="23">
        <f t="shared" si="0"/>
        <v>46259</v>
      </c>
      <c r="B36" s="24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19"/>
      <c r="BJ36" s="19"/>
      <c r="BK36" s="19"/>
      <c r="BL36" s="19"/>
      <c r="BM36" s="19"/>
      <c r="BN36" s="19"/>
      <c r="BO36" s="19"/>
    </row>
    <row r="37" spans="1:67" ht="15.75" x14ac:dyDescent="0.2">
      <c r="A37" s="23">
        <f t="shared" si="0"/>
        <v>46260</v>
      </c>
      <c r="B37" s="24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19"/>
      <c r="BJ37" s="19"/>
      <c r="BK37" s="19"/>
      <c r="BL37" s="19"/>
      <c r="BM37" s="19"/>
      <c r="BN37" s="19"/>
      <c r="BO37" s="19"/>
    </row>
    <row r="38" spans="1:67" ht="15.75" x14ac:dyDescent="0.2">
      <c r="A38" s="23">
        <f t="shared" si="0"/>
        <v>46261</v>
      </c>
      <c r="B38" s="24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/>
      <c r="BG38" s="19"/>
      <c r="BH38" s="19"/>
      <c r="BI38" s="19"/>
      <c r="BJ38" s="19"/>
      <c r="BK38" s="19"/>
      <c r="BL38" s="19"/>
      <c r="BM38" s="19"/>
      <c r="BN38" s="19"/>
      <c r="BO38" s="19"/>
    </row>
    <row r="39" spans="1:67" ht="15.75" x14ac:dyDescent="0.2">
      <c r="A39" s="23">
        <f t="shared" si="0"/>
        <v>46262</v>
      </c>
      <c r="B39" s="24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/>
      <c r="BG39" s="19"/>
      <c r="BH39" s="19"/>
      <c r="BI39" s="19"/>
      <c r="BJ39" s="19"/>
      <c r="BK39" s="19"/>
      <c r="BL39" s="19"/>
      <c r="BM39" s="19"/>
      <c r="BN39" s="19"/>
      <c r="BO39" s="19"/>
    </row>
    <row r="40" spans="1:67" ht="15.75" x14ac:dyDescent="0.2">
      <c r="A40" s="23">
        <f>IF(A39="","",IF(A39=EOMONTH(DATE($N$6,$K$6,1),0),"",A39+1))</f>
        <v>46263</v>
      </c>
      <c r="B40" s="24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/>
      <c r="BG40" s="19"/>
      <c r="BH40" s="19"/>
      <c r="BI40" s="19"/>
      <c r="BJ40" s="19"/>
      <c r="BK40" s="19"/>
      <c r="BL40" s="19"/>
      <c r="BM40" s="19"/>
      <c r="BN40" s="19"/>
      <c r="BO40" s="19"/>
    </row>
    <row r="41" spans="1:67" ht="15.75" x14ac:dyDescent="0.2">
      <c r="A41" s="23">
        <f>IF(A40="","",IF(A40=EOMONTH(DATE($N$6,$K$6,1),0),"",A40+1))</f>
        <v>46264</v>
      </c>
      <c r="B41" s="24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/>
      <c r="BG41" s="19"/>
      <c r="BH41" s="19"/>
      <c r="BI41" s="19"/>
      <c r="BJ41" s="19"/>
      <c r="BK41" s="19"/>
      <c r="BL41" s="19"/>
      <c r="BM41" s="19"/>
      <c r="BN41" s="19"/>
      <c r="BO41" s="19"/>
    </row>
    <row r="42" spans="1:67" ht="15.75" x14ac:dyDescent="0.2">
      <c r="A42" s="23">
        <f>IF(A41="","",IF(A41=EOMONTH(DATE($N$6,$K$6,1),0),"",A41+1))</f>
        <v>46265</v>
      </c>
      <c r="B42" s="24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/>
      <c r="BG42" s="19"/>
      <c r="BH42" s="19"/>
      <c r="BI42" s="19"/>
      <c r="BJ42" s="19"/>
      <c r="BK42" s="19"/>
      <c r="BL42" s="19"/>
      <c r="BM42" s="19"/>
      <c r="BN42" s="19"/>
      <c r="BO42" s="19"/>
    </row>
    <row r="43" spans="1:67" ht="13.5" x14ac:dyDescent="0.25">
      <c r="A43" s="21" t="s">
        <v>205</v>
      </c>
      <c r="B43" s="25" t="s">
        <v>206</v>
      </c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</row>
    <row r="44" spans="1:67" x14ac:dyDescent="0.2">
      <c r="A44" s="22"/>
      <c r="B44" s="22" t="s">
        <v>207</v>
      </c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 t="s">
        <v>208</v>
      </c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</row>
  </sheetData>
  <mergeCells count="45">
    <mergeCell ref="A1:A3"/>
    <mergeCell ref="B1:M3"/>
    <mergeCell ref="N1:BO1"/>
    <mergeCell ref="N2:P2"/>
    <mergeCell ref="Q2:BN2"/>
    <mergeCell ref="N3:P3"/>
    <mergeCell ref="Q3:BN3"/>
    <mergeCell ref="A4:BO4"/>
    <mergeCell ref="A5:BO5"/>
    <mergeCell ref="N6:O6"/>
    <mergeCell ref="A8:A11"/>
    <mergeCell ref="B8:P8"/>
    <mergeCell ref="BO8:BO11"/>
    <mergeCell ref="A23:B23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35:B35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42:B42"/>
    <mergeCell ref="B43:N43"/>
    <mergeCell ref="A36:B36"/>
    <mergeCell ref="A37:B37"/>
    <mergeCell ref="A38:B38"/>
    <mergeCell ref="A39:B39"/>
    <mergeCell ref="A40:B40"/>
    <mergeCell ref="A41:B41"/>
  </mergeCells>
  <conditionalFormatting sqref="AR10">
    <cfRule type="duplicateValues" dxfId="9" priority="2"/>
  </conditionalFormatting>
  <conditionalFormatting sqref="AS10">
    <cfRule type="duplicateValues" dxfId="8" priority="1"/>
  </conditionalFormatting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147" r:id="rId4" name="Spinner 3">
              <controlPr defaultSize="0" autoPict="0">
                <anchor moveWithCells="1" sizeWithCells="1">
                  <from>
                    <xdr:col>11</xdr:col>
                    <xdr:colOff>19050</xdr:colOff>
                    <xdr:row>4</xdr:row>
                    <xdr:rowOff>123825</xdr:rowOff>
                  </from>
                  <to>
                    <xdr:col>11</xdr:col>
                    <xdr:colOff>342900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8" r:id="rId5" name="Spinner 4">
              <controlPr defaultSize="0" autoPict="0">
                <anchor moveWithCells="1" sizeWithCells="1">
                  <from>
                    <xdr:col>15</xdr:col>
                    <xdr:colOff>0</xdr:colOff>
                    <xdr:row>4</xdr:row>
                    <xdr:rowOff>123825</xdr:rowOff>
                  </from>
                  <to>
                    <xdr:col>15</xdr:col>
                    <xdr:colOff>323850</xdr:colOff>
                    <xdr:row>6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O44"/>
  <sheetViews>
    <sheetView zoomScale="70" zoomScaleNormal="70" workbookViewId="0">
      <selection activeCell="J37" sqref="J37"/>
    </sheetView>
  </sheetViews>
  <sheetFormatPr defaultRowHeight="12.75" x14ac:dyDescent="0.2"/>
  <cols>
    <col min="1" max="2" width="23.5" bestFit="1" customWidth="1"/>
    <col min="3" max="3" width="31.6640625" bestFit="1" customWidth="1"/>
    <col min="4" max="4" width="47" bestFit="1" customWidth="1"/>
    <col min="5" max="5" width="40.6640625" bestFit="1" customWidth="1"/>
    <col min="6" max="6" width="32.83203125" bestFit="1" customWidth="1"/>
    <col min="7" max="7" width="32" bestFit="1" customWidth="1"/>
    <col min="8" max="13" width="32.5" bestFit="1" customWidth="1"/>
    <col min="14" max="14" width="34.5" bestFit="1" customWidth="1"/>
    <col min="15" max="15" width="34.1640625" bestFit="1" customWidth="1"/>
    <col min="16" max="16" width="33.6640625" bestFit="1" customWidth="1"/>
    <col min="17" max="17" width="25.6640625" bestFit="1" customWidth="1"/>
    <col min="18" max="19" width="25" bestFit="1" customWidth="1"/>
    <col min="20" max="20" width="35.1640625" bestFit="1" customWidth="1"/>
    <col min="21" max="22" width="37.5" bestFit="1" customWidth="1"/>
    <col min="23" max="23" width="42.5" bestFit="1" customWidth="1"/>
    <col min="24" max="25" width="41.83203125" bestFit="1" customWidth="1"/>
    <col min="26" max="26" width="39.6640625" bestFit="1" customWidth="1"/>
    <col min="27" max="27" width="39" bestFit="1" customWidth="1"/>
    <col min="28" max="34" width="40.1640625" bestFit="1" customWidth="1"/>
    <col min="35" max="35" width="39.6640625" bestFit="1" customWidth="1"/>
    <col min="36" max="36" width="28.5" bestFit="1" customWidth="1"/>
    <col min="37" max="38" width="47.83203125" bestFit="1" customWidth="1"/>
    <col min="39" max="39" width="49" bestFit="1" customWidth="1"/>
    <col min="40" max="40" width="49.5" bestFit="1" customWidth="1"/>
    <col min="41" max="41" width="46.33203125" bestFit="1" customWidth="1"/>
    <col min="42" max="42" width="46.6640625" bestFit="1" customWidth="1"/>
    <col min="43" max="43" width="34" bestFit="1" customWidth="1"/>
    <col min="44" max="45" width="26.6640625" bestFit="1" customWidth="1"/>
    <col min="46" max="47" width="30.33203125" bestFit="1" customWidth="1"/>
    <col min="48" max="48" width="35.83203125" bestFit="1" customWidth="1"/>
    <col min="49" max="49" width="37" bestFit="1" customWidth="1"/>
    <col min="50" max="50" width="33.33203125" bestFit="1" customWidth="1"/>
    <col min="51" max="51" width="34.1640625" bestFit="1" customWidth="1"/>
    <col min="52" max="52" width="33.5" bestFit="1" customWidth="1"/>
    <col min="53" max="54" width="36.6640625" bestFit="1" customWidth="1"/>
    <col min="55" max="56" width="43.33203125" bestFit="1" customWidth="1"/>
    <col min="57" max="57" width="41.6640625" bestFit="1" customWidth="1"/>
    <col min="58" max="58" width="44.1640625" bestFit="1" customWidth="1"/>
    <col min="59" max="59" width="32" bestFit="1" customWidth="1"/>
    <col min="60" max="60" width="39.1640625" bestFit="1" customWidth="1"/>
    <col min="61" max="61" width="35.6640625" bestFit="1" customWidth="1"/>
    <col min="62" max="62" width="30.6640625" bestFit="1" customWidth="1"/>
    <col min="63" max="63" width="44" bestFit="1" customWidth="1"/>
    <col min="64" max="64" width="39" bestFit="1" customWidth="1"/>
    <col min="65" max="66" width="6.83203125" bestFit="1" customWidth="1"/>
    <col min="67" max="67" width="14.6640625" bestFit="1" customWidth="1"/>
  </cols>
  <sheetData>
    <row r="1" spans="1:67" x14ac:dyDescent="0.2">
      <c r="A1" s="39" t="s">
        <v>0</v>
      </c>
      <c r="B1" s="40" t="s">
        <v>1</v>
      </c>
      <c r="C1" s="41"/>
      <c r="D1" s="41"/>
      <c r="E1" s="41"/>
      <c r="F1" s="41"/>
      <c r="G1" s="41"/>
      <c r="H1" s="41"/>
      <c r="I1" s="41"/>
      <c r="J1" s="41"/>
      <c r="K1" s="41"/>
      <c r="L1" s="41"/>
      <c r="M1" s="42"/>
      <c r="N1" s="49" t="s">
        <v>2</v>
      </c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  <c r="AJ1" s="50"/>
      <c r="AK1" s="50"/>
      <c r="AL1" s="50"/>
      <c r="AM1" s="50"/>
      <c r="AN1" s="50"/>
      <c r="AO1" s="50"/>
      <c r="AP1" s="50"/>
      <c r="AQ1" s="50"/>
      <c r="AR1" s="50"/>
      <c r="AS1" s="50"/>
      <c r="AT1" s="50"/>
      <c r="AU1" s="50"/>
      <c r="AV1" s="50"/>
      <c r="AW1" s="50"/>
      <c r="AX1" s="50"/>
      <c r="AY1" s="50"/>
      <c r="AZ1" s="50"/>
      <c r="BA1" s="50"/>
      <c r="BB1" s="50"/>
      <c r="BC1" s="50"/>
      <c r="BD1" s="50"/>
      <c r="BE1" s="50"/>
      <c r="BF1" s="50"/>
      <c r="BG1" s="50"/>
      <c r="BH1" s="50"/>
      <c r="BI1" s="50"/>
      <c r="BJ1" s="50"/>
      <c r="BK1" s="50"/>
      <c r="BL1" s="50"/>
      <c r="BM1" s="50"/>
      <c r="BN1" s="50"/>
      <c r="BO1" s="51"/>
    </row>
    <row r="2" spans="1:67" x14ac:dyDescent="0.2">
      <c r="A2" s="39"/>
      <c r="B2" s="43"/>
      <c r="C2" s="44"/>
      <c r="D2" s="44"/>
      <c r="E2" s="44"/>
      <c r="F2" s="44"/>
      <c r="G2" s="44"/>
      <c r="H2" s="44"/>
      <c r="I2" s="44"/>
      <c r="J2" s="44"/>
      <c r="K2" s="44"/>
      <c r="L2" s="44"/>
      <c r="M2" s="45"/>
      <c r="N2" s="49" t="s">
        <v>3</v>
      </c>
      <c r="O2" s="50"/>
      <c r="P2" s="51"/>
      <c r="Q2" s="49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50"/>
      <c r="AO2" s="50"/>
      <c r="AP2" s="50"/>
      <c r="AQ2" s="50"/>
      <c r="AR2" s="50"/>
      <c r="AS2" s="50"/>
      <c r="AT2" s="50"/>
      <c r="AU2" s="50"/>
      <c r="AV2" s="50"/>
      <c r="AW2" s="50"/>
      <c r="AX2" s="50"/>
      <c r="AY2" s="50"/>
      <c r="AZ2" s="50"/>
      <c r="BA2" s="50"/>
      <c r="BB2" s="50"/>
      <c r="BC2" s="50"/>
      <c r="BD2" s="50"/>
      <c r="BE2" s="50"/>
      <c r="BF2" s="50"/>
      <c r="BG2" s="50"/>
      <c r="BH2" s="50"/>
      <c r="BI2" s="50"/>
      <c r="BJ2" s="50"/>
      <c r="BK2" s="50"/>
      <c r="BL2" s="50"/>
      <c r="BM2" s="50"/>
      <c r="BN2" s="51"/>
      <c r="BO2" s="1" t="s">
        <v>4</v>
      </c>
    </row>
    <row r="3" spans="1:67" x14ac:dyDescent="0.2">
      <c r="A3" s="39"/>
      <c r="B3" s="46"/>
      <c r="C3" s="47"/>
      <c r="D3" s="47"/>
      <c r="E3" s="47"/>
      <c r="F3" s="47"/>
      <c r="G3" s="47"/>
      <c r="H3" s="47"/>
      <c r="I3" s="47"/>
      <c r="J3" s="47"/>
      <c r="K3" s="47"/>
      <c r="L3" s="47"/>
      <c r="M3" s="48"/>
      <c r="N3" s="49" t="s">
        <v>5</v>
      </c>
      <c r="O3" s="50"/>
      <c r="P3" s="51"/>
      <c r="Q3" s="49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/>
      <c r="AS3" s="50"/>
      <c r="AT3" s="50"/>
      <c r="AU3" s="50"/>
      <c r="AV3" s="50"/>
      <c r="AW3" s="50"/>
      <c r="AX3" s="50"/>
      <c r="AY3" s="50"/>
      <c r="AZ3" s="50"/>
      <c r="BA3" s="50"/>
      <c r="BB3" s="50"/>
      <c r="BC3" s="50"/>
      <c r="BD3" s="50"/>
      <c r="BE3" s="50"/>
      <c r="BF3" s="50"/>
      <c r="BG3" s="50"/>
      <c r="BH3" s="50"/>
      <c r="BI3" s="50"/>
      <c r="BJ3" s="50"/>
      <c r="BK3" s="50"/>
      <c r="BL3" s="50"/>
      <c r="BM3" s="50"/>
      <c r="BN3" s="51"/>
      <c r="BO3" s="1" t="s">
        <v>6</v>
      </c>
    </row>
    <row r="4" spans="1:67" x14ac:dyDescent="0.2">
      <c r="A4" s="26" t="s">
        <v>7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8"/>
    </row>
    <row r="5" spans="1:67" ht="18.75" x14ac:dyDescent="0.2">
      <c r="A5" s="29"/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</row>
    <row r="6" spans="1:67" ht="15.75" x14ac:dyDescent="0.25">
      <c r="A6" s="2" t="s">
        <v>8</v>
      </c>
      <c r="B6" s="3"/>
      <c r="C6" s="3"/>
      <c r="D6" s="3"/>
      <c r="E6" s="3"/>
      <c r="F6" s="3"/>
      <c r="G6" s="3"/>
      <c r="H6" s="3"/>
      <c r="I6" s="3"/>
      <c r="J6" s="3" t="s">
        <v>9</v>
      </c>
      <c r="K6" s="3">
        <v>9</v>
      </c>
      <c r="L6" s="3"/>
      <c r="M6" s="3" t="s">
        <v>10</v>
      </c>
      <c r="N6" s="30">
        <v>2026</v>
      </c>
      <c r="O6" s="30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</row>
    <row r="7" spans="1:67" ht="15.7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</row>
    <row r="8" spans="1:67" ht="15.75" x14ac:dyDescent="0.25">
      <c r="A8" s="31" t="s">
        <v>11</v>
      </c>
      <c r="B8" s="33" t="s">
        <v>12</v>
      </c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5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36" t="s">
        <v>13</v>
      </c>
    </row>
    <row r="9" spans="1:67" x14ac:dyDescent="0.2">
      <c r="A9" s="31"/>
      <c r="B9" s="5" t="s">
        <v>14</v>
      </c>
      <c r="C9" s="5" t="s">
        <v>15</v>
      </c>
      <c r="D9" s="5" t="s">
        <v>16</v>
      </c>
      <c r="E9" s="5" t="s">
        <v>17</v>
      </c>
      <c r="F9" s="5" t="s">
        <v>18</v>
      </c>
      <c r="G9" s="5" t="s">
        <v>19</v>
      </c>
      <c r="H9" s="5" t="s">
        <v>20</v>
      </c>
      <c r="I9" s="5" t="s">
        <v>21</v>
      </c>
      <c r="J9" s="5" t="s">
        <v>22</v>
      </c>
      <c r="K9" s="5" t="s">
        <v>23</v>
      </c>
      <c r="L9" s="5" t="s">
        <v>24</v>
      </c>
      <c r="M9" s="5" t="s">
        <v>25</v>
      </c>
      <c r="N9" s="5" t="s">
        <v>26</v>
      </c>
      <c r="O9" s="5" t="s">
        <v>27</v>
      </c>
      <c r="P9" s="5" t="s">
        <v>28</v>
      </c>
      <c r="Q9" s="5" t="s">
        <v>29</v>
      </c>
      <c r="R9" s="5" t="s">
        <v>30</v>
      </c>
      <c r="S9" s="5" t="s">
        <v>31</v>
      </c>
      <c r="T9" s="5" t="s">
        <v>32</v>
      </c>
      <c r="U9" s="5" t="s">
        <v>33</v>
      </c>
      <c r="V9" s="5" t="s">
        <v>34</v>
      </c>
      <c r="W9" s="5" t="s">
        <v>35</v>
      </c>
      <c r="X9" s="5" t="s">
        <v>36</v>
      </c>
      <c r="Y9" s="5" t="s">
        <v>37</v>
      </c>
      <c r="Z9" s="5" t="s">
        <v>38</v>
      </c>
      <c r="AA9" s="5" t="s">
        <v>39</v>
      </c>
      <c r="AB9" s="5" t="s">
        <v>40</v>
      </c>
      <c r="AC9" s="5" t="s">
        <v>41</v>
      </c>
      <c r="AD9" s="5" t="s">
        <v>42</v>
      </c>
      <c r="AE9" s="5" t="s">
        <v>43</v>
      </c>
      <c r="AF9" s="5" t="s">
        <v>44</v>
      </c>
      <c r="AG9" s="5" t="s">
        <v>45</v>
      </c>
      <c r="AH9" s="5" t="s">
        <v>46</v>
      </c>
      <c r="AI9" s="5" t="s">
        <v>47</v>
      </c>
      <c r="AJ9" s="5" t="s">
        <v>48</v>
      </c>
      <c r="AK9" s="5" t="s">
        <v>49</v>
      </c>
      <c r="AL9" s="5" t="s">
        <v>50</v>
      </c>
      <c r="AM9" s="5" t="s">
        <v>51</v>
      </c>
      <c r="AN9" s="5" t="s">
        <v>52</v>
      </c>
      <c r="AO9" s="5" t="s">
        <v>53</v>
      </c>
      <c r="AP9" s="5" t="s">
        <v>54</v>
      </c>
      <c r="AQ9" s="5" t="s">
        <v>55</v>
      </c>
      <c r="AR9" s="5" t="s">
        <v>56</v>
      </c>
      <c r="AS9" s="5" t="s">
        <v>57</v>
      </c>
      <c r="AT9" s="5" t="s">
        <v>58</v>
      </c>
      <c r="AU9" s="5" t="s">
        <v>59</v>
      </c>
      <c r="AV9" s="5" t="s">
        <v>60</v>
      </c>
      <c r="AW9" s="5" t="s">
        <v>61</v>
      </c>
      <c r="AX9" s="5" t="s">
        <v>62</v>
      </c>
      <c r="AY9" s="5" t="s">
        <v>63</v>
      </c>
      <c r="AZ9" s="5" t="s">
        <v>64</v>
      </c>
      <c r="BA9" s="5" t="s">
        <v>65</v>
      </c>
      <c r="BB9" s="5" t="s">
        <v>66</v>
      </c>
      <c r="BC9" s="5" t="s">
        <v>67</v>
      </c>
      <c r="BD9" s="5" t="s">
        <v>68</v>
      </c>
      <c r="BE9" s="5" t="s">
        <v>69</v>
      </c>
      <c r="BF9" s="5" t="s">
        <v>70</v>
      </c>
      <c r="BG9" s="5" t="s">
        <v>71</v>
      </c>
      <c r="BH9" s="5" t="s">
        <v>72</v>
      </c>
      <c r="BI9" s="5" t="s">
        <v>73</v>
      </c>
      <c r="BJ9" s="5" t="s">
        <v>74</v>
      </c>
      <c r="BK9" s="5" t="s">
        <v>75</v>
      </c>
      <c r="BL9" s="5" t="s">
        <v>76</v>
      </c>
      <c r="BM9" s="5" t="s">
        <v>77</v>
      </c>
      <c r="BN9" s="5" t="s">
        <v>78</v>
      </c>
      <c r="BO9" s="37"/>
    </row>
    <row r="10" spans="1:67" ht="30" x14ac:dyDescent="0.25">
      <c r="A10" s="31"/>
      <c r="B10" s="6" t="s">
        <v>79</v>
      </c>
      <c r="C10" s="7" t="s">
        <v>80</v>
      </c>
      <c r="D10" s="8" t="s">
        <v>81</v>
      </c>
      <c r="E10" s="7" t="s">
        <v>82</v>
      </c>
      <c r="F10" s="7" t="s">
        <v>83</v>
      </c>
      <c r="G10" s="7" t="s">
        <v>84</v>
      </c>
      <c r="H10" s="7" t="s">
        <v>85</v>
      </c>
      <c r="I10" s="7" t="s">
        <v>86</v>
      </c>
      <c r="J10" s="7" t="s">
        <v>87</v>
      </c>
      <c r="K10" s="7" t="s">
        <v>88</v>
      </c>
      <c r="L10" s="7" t="s">
        <v>89</v>
      </c>
      <c r="M10" s="7" t="s">
        <v>90</v>
      </c>
      <c r="N10" s="7" t="s">
        <v>91</v>
      </c>
      <c r="O10" s="7" t="s">
        <v>92</v>
      </c>
      <c r="P10" s="7" t="s">
        <v>93</v>
      </c>
      <c r="Q10" s="7" t="s">
        <v>94</v>
      </c>
      <c r="R10" s="7" t="s">
        <v>95</v>
      </c>
      <c r="S10" s="7" t="s">
        <v>96</v>
      </c>
      <c r="T10" s="7" t="s">
        <v>97</v>
      </c>
      <c r="U10" s="8" t="s">
        <v>98</v>
      </c>
      <c r="V10" s="8" t="s">
        <v>99</v>
      </c>
      <c r="W10" s="7" t="s">
        <v>100</v>
      </c>
      <c r="X10" s="7" t="s">
        <v>101</v>
      </c>
      <c r="Y10" s="7" t="s">
        <v>102</v>
      </c>
      <c r="Z10" s="7" t="s">
        <v>103</v>
      </c>
      <c r="AA10" s="7" t="s">
        <v>104</v>
      </c>
      <c r="AB10" s="7" t="s">
        <v>105</v>
      </c>
      <c r="AC10" s="7" t="s">
        <v>106</v>
      </c>
      <c r="AD10" s="7" t="s">
        <v>107</v>
      </c>
      <c r="AE10" s="7" t="s">
        <v>108</v>
      </c>
      <c r="AF10" s="7" t="s">
        <v>109</v>
      </c>
      <c r="AG10" s="7" t="s">
        <v>110</v>
      </c>
      <c r="AH10" s="7" t="s">
        <v>111</v>
      </c>
      <c r="AI10" s="7" t="s">
        <v>112</v>
      </c>
      <c r="AJ10" s="7" t="s">
        <v>113</v>
      </c>
      <c r="AK10" s="8" t="s">
        <v>114</v>
      </c>
      <c r="AL10" s="8" t="s">
        <v>115</v>
      </c>
      <c r="AM10" s="8" t="s">
        <v>116</v>
      </c>
      <c r="AN10" s="8" t="s">
        <v>117</v>
      </c>
      <c r="AO10" s="8" t="s">
        <v>118</v>
      </c>
      <c r="AP10" s="8" t="s">
        <v>119</v>
      </c>
      <c r="AQ10" s="8" t="s">
        <v>120</v>
      </c>
      <c r="AR10" s="8" t="s">
        <v>121</v>
      </c>
      <c r="AS10" s="8" t="s">
        <v>122</v>
      </c>
      <c r="AT10" s="9" t="s">
        <v>123</v>
      </c>
      <c r="AU10" s="9" t="s">
        <v>124</v>
      </c>
      <c r="AV10" s="9" t="s">
        <v>125</v>
      </c>
      <c r="AW10" s="9" t="s">
        <v>126</v>
      </c>
      <c r="AX10" s="9" t="s">
        <v>127</v>
      </c>
      <c r="AY10" s="10" t="s">
        <v>128</v>
      </c>
      <c r="AZ10" s="11" t="s">
        <v>129</v>
      </c>
      <c r="BA10" s="11" t="s">
        <v>130</v>
      </c>
      <c r="BB10" s="11" t="s">
        <v>131</v>
      </c>
      <c r="BC10" s="11" t="s">
        <v>132</v>
      </c>
      <c r="BD10" s="11" t="s">
        <v>133</v>
      </c>
      <c r="BE10" s="12" t="s">
        <v>134</v>
      </c>
      <c r="BF10" s="9" t="s">
        <v>135</v>
      </c>
      <c r="BG10" s="9" t="s">
        <v>136</v>
      </c>
      <c r="BH10" s="9" t="s">
        <v>137</v>
      </c>
      <c r="BI10" s="9" t="s">
        <v>138</v>
      </c>
      <c r="BJ10" s="9" t="s">
        <v>139</v>
      </c>
      <c r="BK10" s="9" t="s">
        <v>140</v>
      </c>
      <c r="BL10" s="9" t="s">
        <v>141</v>
      </c>
      <c r="BM10" s="12"/>
      <c r="BN10" s="12"/>
      <c r="BO10" s="37"/>
    </row>
    <row r="11" spans="1:67" ht="15" x14ac:dyDescent="0.25">
      <c r="A11" s="32"/>
      <c r="B11" s="6" t="s">
        <v>142</v>
      </c>
      <c r="C11" s="13" t="s">
        <v>143</v>
      </c>
      <c r="D11" s="11" t="s">
        <v>144</v>
      </c>
      <c r="E11" s="14" t="s">
        <v>145</v>
      </c>
      <c r="F11" s="7" t="s">
        <v>146</v>
      </c>
      <c r="G11" s="7" t="s">
        <v>147</v>
      </c>
      <c r="H11" s="7" t="s">
        <v>148</v>
      </c>
      <c r="I11" s="7" t="s">
        <v>149</v>
      </c>
      <c r="J11" s="7" t="s">
        <v>150</v>
      </c>
      <c r="K11" s="7" t="s">
        <v>151</v>
      </c>
      <c r="L11" s="7" t="s">
        <v>152</v>
      </c>
      <c r="M11" s="7" t="s">
        <v>153</v>
      </c>
      <c r="N11" s="7" t="s">
        <v>154</v>
      </c>
      <c r="O11" s="7" t="s">
        <v>155</v>
      </c>
      <c r="P11" s="7" t="s">
        <v>156</v>
      </c>
      <c r="Q11" s="7" t="s">
        <v>157</v>
      </c>
      <c r="R11" s="7" t="s">
        <v>158</v>
      </c>
      <c r="S11" s="7" t="s">
        <v>159</v>
      </c>
      <c r="T11" s="7" t="s">
        <v>160</v>
      </c>
      <c r="U11" s="15" t="s">
        <v>161</v>
      </c>
      <c r="V11" s="15" t="s">
        <v>162</v>
      </c>
      <c r="W11" s="7" t="s">
        <v>163</v>
      </c>
      <c r="X11" s="7" t="s">
        <v>164</v>
      </c>
      <c r="Y11" s="7" t="s">
        <v>165</v>
      </c>
      <c r="Z11" s="7" t="s">
        <v>166</v>
      </c>
      <c r="AA11" s="7" t="s">
        <v>167</v>
      </c>
      <c r="AB11" s="7" t="s">
        <v>168</v>
      </c>
      <c r="AC11" s="7" t="s">
        <v>169</v>
      </c>
      <c r="AD11" s="7" t="s">
        <v>170</v>
      </c>
      <c r="AE11" s="7" t="s">
        <v>171</v>
      </c>
      <c r="AF11" s="7" t="s">
        <v>172</v>
      </c>
      <c r="AG11" s="7" t="s">
        <v>173</v>
      </c>
      <c r="AH11" s="7" t="s">
        <v>174</v>
      </c>
      <c r="AI11" s="7" t="s">
        <v>175</v>
      </c>
      <c r="AJ11" s="7" t="s">
        <v>176</v>
      </c>
      <c r="AK11" s="16" t="s">
        <v>177</v>
      </c>
      <c r="AL11" s="16" t="s">
        <v>178</v>
      </c>
      <c r="AM11" s="16" t="s">
        <v>179</v>
      </c>
      <c r="AN11" s="16" t="s">
        <v>180</v>
      </c>
      <c r="AO11" s="16" t="s">
        <v>181</v>
      </c>
      <c r="AP11" s="16" t="s">
        <v>182</v>
      </c>
      <c r="AQ11" s="17" t="s">
        <v>183</v>
      </c>
      <c r="AR11" s="17" t="s">
        <v>184</v>
      </c>
      <c r="AS11" s="17" t="s">
        <v>185</v>
      </c>
      <c r="AT11" s="17" t="s">
        <v>186</v>
      </c>
      <c r="AU11" s="17" t="s">
        <v>187</v>
      </c>
      <c r="AV11" s="17" t="s">
        <v>188</v>
      </c>
      <c r="AW11" s="17" t="s">
        <v>189</v>
      </c>
      <c r="AX11" s="17" t="s">
        <v>190</v>
      </c>
      <c r="AY11" s="16" t="s">
        <v>191</v>
      </c>
      <c r="AZ11" s="16" t="s">
        <v>192</v>
      </c>
      <c r="BA11" s="16" t="s">
        <v>193</v>
      </c>
      <c r="BB11" s="16" t="s">
        <v>194</v>
      </c>
      <c r="BC11" s="16" t="s">
        <v>195</v>
      </c>
      <c r="BD11" s="16" t="s">
        <v>196</v>
      </c>
      <c r="BE11" s="16" t="s">
        <v>197</v>
      </c>
      <c r="BF11" s="16" t="s">
        <v>198</v>
      </c>
      <c r="BG11" s="16" t="s">
        <v>199</v>
      </c>
      <c r="BH11" s="16" t="s">
        <v>200</v>
      </c>
      <c r="BI11" s="16" t="s">
        <v>201</v>
      </c>
      <c r="BJ11" s="16" t="s">
        <v>202</v>
      </c>
      <c r="BK11" s="16" t="s">
        <v>203</v>
      </c>
      <c r="BL11" s="16" t="s">
        <v>204</v>
      </c>
      <c r="BM11" s="16"/>
      <c r="BN11" s="18"/>
      <c r="BO11" s="38"/>
    </row>
    <row r="12" spans="1:67" ht="15.75" x14ac:dyDescent="0.2">
      <c r="A12" s="23">
        <f>DATE(N6,K6,1)</f>
        <v>46266</v>
      </c>
      <c r="B12" s="24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20"/>
      <c r="BJ12" s="20"/>
      <c r="BK12" s="20"/>
      <c r="BL12" s="20"/>
      <c r="BM12" s="20"/>
      <c r="BN12" s="20"/>
      <c r="BO12" s="19"/>
    </row>
    <row r="13" spans="1:67" ht="15.75" x14ac:dyDescent="0.2">
      <c r="A13" s="23">
        <f>A12+1</f>
        <v>46267</v>
      </c>
      <c r="B13" s="24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</row>
    <row r="14" spans="1:67" ht="15.75" x14ac:dyDescent="0.2">
      <c r="A14" s="23">
        <f t="shared" ref="A14:A39" si="0">A13+1</f>
        <v>46268</v>
      </c>
      <c r="B14" s="24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</row>
    <row r="15" spans="1:67" ht="15.75" x14ac:dyDescent="0.2">
      <c r="A15" s="23">
        <f t="shared" si="0"/>
        <v>46269</v>
      </c>
      <c r="B15" s="24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</row>
    <row r="16" spans="1:67" ht="15.75" x14ac:dyDescent="0.2">
      <c r="A16" s="23">
        <f t="shared" si="0"/>
        <v>46270</v>
      </c>
      <c r="B16" s="24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</row>
    <row r="17" spans="1:67" ht="15.75" x14ac:dyDescent="0.2">
      <c r="A17" s="23">
        <f t="shared" si="0"/>
        <v>46271</v>
      </c>
      <c r="B17" s="24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</row>
    <row r="18" spans="1:67" ht="15.75" x14ac:dyDescent="0.2">
      <c r="A18" s="23">
        <f t="shared" si="0"/>
        <v>46272</v>
      </c>
      <c r="B18" s="24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</row>
    <row r="19" spans="1:67" ht="15.75" x14ac:dyDescent="0.2">
      <c r="A19" s="23">
        <f t="shared" si="0"/>
        <v>46273</v>
      </c>
      <c r="B19" s="24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</row>
    <row r="20" spans="1:67" ht="15.75" x14ac:dyDescent="0.2">
      <c r="A20" s="23">
        <f t="shared" si="0"/>
        <v>46274</v>
      </c>
      <c r="B20" s="24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</row>
    <row r="21" spans="1:67" ht="15.75" x14ac:dyDescent="0.2">
      <c r="A21" s="23">
        <f t="shared" si="0"/>
        <v>46275</v>
      </c>
      <c r="B21" s="24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  <c r="BO21" s="19"/>
    </row>
    <row r="22" spans="1:67" ht="15.75" x14ac:dyDescent="0.2">
      <c r="A22" s="23">
        <f t="shared" si="0"/>
        <v>46276</v>
      </c>
      <c r="B22" s="24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</row>
    <row r="23" spans="1:67" ht="15.75" x14ac:dyDescent="0.2">
      <c r="A23" s="23">
        <f t="shared" si="0"/>
        <v>46277</v>
      </c>
      <c r="B23" s="24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</row>
    <row r="24" spans="1:67" ht="15.75" x14ac:dyDescent="0.2">
      <c r="A24" s="23">
        <f t="shared" si="0"/>
        <v>46278</v>
      </c>
      <c r="B24" s="24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</row>
    <row r="25" spans="1:67" ht="15.75" x14ac:dyDescent="0.2">
      <c r="A25" s="23">
        <f t="shared" si="0"/>
        <v>46279</v>
      </c>
      <c r="B25" s="24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/>
      <c r="BO25" s="19"/>
    </row>
    <row r="26" spans="1:67" ht="15.75" x14ac:dyDescent="0.2">
      <c r="A26" s="23">
        <f t="shared" si="0"/>
        <v>46280</v>
      </c>
      <c r="B26" s="24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</row>
    <row r="27" spans="1:67" ht="15.75" x14ac:dyDescent="0.2">
      <c r="A27" s="23">
        <f t="shared" si="0"/>
        <v>46281</v>
      </c>
      <c r="B27" s="24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</row>
    <row r="28" spans="1:67" ht="15.75" x14ac:dyDescent="0.2">
      <c r="A28" s="23">
        <f t="shared" si="0"/>
        <v>46282</v>
      </c>
      <c r="B28" s="24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</row>
    <row r="29" spans="1:67" ht="15.75" x14ac:dyDescent="0.2">
      <c r="A29" s="23">
        <f t="shared" si="0"/>
        <v>46283</v>
      </c>
      <c r="B29" s="24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</row>
    <row r="30" spans="1:67" ht="15.75" x14ac:dyDescent="0.2">
      <c r="A30" s="23">
        <f t="shared" si="0"/>
        <v>46284</v>
      </c>
      <c r="B30" s="24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</row>
    <row r="31" spans="1:67" ht="15.75" x14ac:dyDescent="0.2">
      <c r="A31" s="23">
        <f t="shared" si="0"/>
        <v>46285</v>
      </c>
      <c r="B31" s="24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</row>
    <row r="32" spans="1:67" ht="15.75" x14ac:dyDescent="0.2">
      <c r="A32" s="23">
        <f t="shared" si="0"/>
        <v>46286</v>
      </c>
      <c r="B32" s="24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</row>
    <row r="33" spans="1:67" ht="15.75" x14ac:dyDescent="0.2">
      <c r="A33" s="23">
        <f t="shared" si="0"/>
        <v>46287</v>
      </c>
      <c r="B33" s="24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19"/>
      <c r="BN33" s="19"/>
      <c r="BO33" s="19"/>
    </row>
    <row r="34" spans="1:67" ht="15.75" x14ac:dyDescent="0.2">
      <c r="A34" s="23">
        <f>A33+1</f>
        <v>46288</v>
      </c>
      <c r="B34" s="24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/>
      <c r="BG34" s="19"/>
      <c r="BH34" s="19"/>
      <c r="BI34" s="19"/>
      <c r="BJ34" s="19"/>
      <c r="BK34" s="19"/>
      <c r="BL34" s="19"/>
      <c r="BM34" s="19"/>
      <c r="BN34" s="19"/>
      <c r="BO34" s="19"/>
    </row>
    <row r="35" spans="1:67" ht="15.75" x14ac:dyDescent="0.2">
      <c r="A35" s="23">
        <f t="shared" si="0"/>
        <v>46289</v>
      </c>
      <c r="B35" s="24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/>
      <c r="BG35" s="19"/>
      <c r="BH35" s="19"/>
      <c r="BI35" s="19"/>
      <c r="BJ35" s="19"/>
      <c r="BK35" s="19"/>
      <c r="BL35" s="19"/>
      <c r="BM35" s="19"/>
      <c r="BN35" s="19"/>
      <c r="BO35" s="19"/>
    </row>
    <row r="36" spans="1:67" ht="15.75" x14ac:dyDescent="0.2">
      <c r="A36" s="23">
        <f t="shared" si="0"/>
        <v>46290</v>
      </c>
      <c r="B36" s="24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19"/>
      <c r="BJ36" s="19"/>
      <c r="BK36" s="19"/>
      <c r="BL36" s="19"/>
      <c r="BM36" s="19"/>
      <c r="BN36" s="19"/>
      <c r="BO36" s="19"/>
    </row>
    <row r="37" spans="1:67" ht="15.75" x14ac:dyDescent="0.2">
      <c r="A37" s="23">
        <f t="shared" si="0"/>
        <v>46291</v>
      </c>
      <c r="B37" s="24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19"/>
      <c r="BJ37" s="19"/>
      <c r="BK37" s="19"/>
      <c r="BL37" s="19"/>
      <c r="BM37" s="19"/>
      <c r="BN37" s="19"/>
      <c r="BO37" s="19"/>
    </row>
    <row r="38" spans="1:67" ht="15.75" x14ac:dyDescent="0.2">
      <c r="A38" s="23">
        <f t="shared" si="0"/>
        <v>46292</v>
      </c>
      <c r="B38" s="24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/>
      <c r="BG38" s="19"/>
      <c r="BH38" s="19"/>
      <c r="BI38" s="19"/>
      <c r="BJ38" s="19"/>
      <c r="BK38" s="19"/>
      <c r="BL38" s="19"/>
      <c r="BM38" s="19"/>
      <c r="BN38" s="19"/>
      <c r="BO38" s="19"/>
    </row>
    <row r="39" spans="1:67" ht="15.75" x14ac:dyDescent="0.2">
      <c r="A39" s="23">
        <f t="shared" si="0"/>
        <v>46293</v>
      </c>
      <c r="B39" s="24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/>
      <c r="BG39" s="19"/>
      <c r="BH39" s="19"/>
      <c r="BI39" s="19"/>
      <c r="BJ39" s="19"/>
      <c r="BK39" s="19"/>
      <c r="BL39" s="19"/>
      <c r="BM39" s="19"/>
      <c r="BN39" s="19"/>
      <c r="BO39" s="19"/>
    </row>
    <row r="40" spans="1:67" ht="15.75" x14ac:dyDescent="0.2">
      <c r="A40" s="23">
        <f>IF(A39="","",IF(A39=EOMONTH(DATE($N$6,$K$6,1),0),"",A39+1))</f>
        <v>46294</v>
      </c>
      <c r="B40" s="24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/>
      <c r="BG40" s="19"/>
      <c r="BH40" s="19"/>
      <c r="BI40" s="19"/>
      <c r="BJ40" s="19"/>
      <c r="BK40" s="19"/>
      <c r="BL40" s="19"/>
      <c r="BM40" s="19"/>
      <c r="BN40" s="19"/>
      <c r="BO40" s="19"/>
    </row>
    <row r="41" spans="1:67" ht="15.75" x14ac:dyDescent="0.2">
      <c r="A41" s="23">
        <f>IF(A40="","",IF(A40=EOMONTH(DATE($N$6,$K$6,1),0),"",A40+1))</f>
        <v>46295</v>
      </c>
      <c r="B41" s="24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/>
      <c r="BG41" s="19"/>
      <c r="BH41" s="19"/>
      <c r="BI41" s="19"/>
      <c r="BJ41" s="19"/>
      <c r="BK41" s="19"/>
      <c r="BL41" s="19"/>
      <c r="BM41" s="19"/>
      <c r="BN41" s="19"/>
      <c r="BO41" s="19"/>
    </row>
    <row r="42" spans="1:67" ht="15.75" x14ac:dyDescent="0.2">
      <c r="A42" s="23" t="str">
        <f>IF(A41="","",IF(A41=EOMONTH(DATE($N$6,$K$6,1),0),"",A41+1))</f>
        <v/>
      </c>
      <c r="B42" s="24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/>
      <c r="BG42" s="19"/>
      <c r="BH42" s="19"/>
      <c r="BI42" s="19"/>
      <c r="BJ42" s="19"/>
      <c r="BK42" s="19"/>
      <c r="BL42" s="19"/>
      <c r="BM42" s="19"/>
      <c r="BN42" s="19"/>
      <c r="BO42" s="19"/>
    </row>
    <row r="43" spans="1:67" ht="13.5" x14ac:dyDescent="0.25">
      <c r="A43" s="21" t="s">
        <v>205</v>
      </c>
      <c r="B43" s="25" t="s">
        <v>206</v>
      </c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</row>
    <row r="44" spans="1:67" x14ac:dyDescent="0.2">
      <c r="A44" s="22"/>
      <c r="B44" s="22" t="s">
        <v>207</v>
      </c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 t="s">
        <v>208</v>
      </c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</row>
  </sheetData>
  <mergeCells count="45">
    <mergeCell ref="A1:A3"/>
    <mergeCell ref="B1:M3"/>
    <mergeCell ref="N1:BO1"/>
    <mergeCell ref="N2:P2"/>
    <mergeCell ref="Q2:BN2"/>
    <mergeCell ref="N3:P3"/>
    <mergeCell ref="Q3:BN3"/>
    <mergeCell ref="A4:BO4"/>
    <mergeCell ref="A5:BO5"/>
    <mergeCell ref="N6:O6"/>
    <mergeCell ref="A8:A11"/>
    <mergeCell ref="B8:P8"/>
    <mergeCell ref="BO8:BO11"/>
    <mergeCell ref="A23:B23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35:B35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42:B42"/>
    <mergeCell ref="B43:N43"/>
    <mergeCell ref="A36:B36"/>
    <mergeCell ref="A37:B37"/>
    <mergeCell ref="A38:B38"/>
    <mergeCell ref="A39:B39"/>
    <mergeCell ref="A40:B40"/>
    <mergeCell ref="A41:B41"/>
  </mergeCells>
  <conditionalFormatting sqref="AR10">
    <cfRule type="duplicateValues" dxfId="7" priority="2"/>
  </conditionalFormatting>
  <conditionalFormatting sqref="AS10">
    <cfRule type="duplicateValues" dxfId="6" priority="1"/>
  </conditionalFormatting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3" r:id="rId3" name="Spinner 3">
              <controlPr defaultSize="0" autoPict="0">
                <anchor moveWithCells="1" sizeWithCells="1">
                  <from>
                    <xdr:col>11</xdr:col>
                    <xdr:colOff>19050</xdr:colOff>
                    <xdr:row>4</xdr:row>
                    <xdr:rowOff>123825</xdr:rowOff>
                  </from>
                  <to>
                    <xdr:col>11</xdr:col>
                    <xdr:colOff>342900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4" r:id="rId4" name="Spinner 4">
              <controlPr defaultSize="0" autoPict="0">
                <anchor moveWithCells="1" sizeWithCells="1">
                  <from>
                    <xdr:col>15</xdr:col>
                    <xdr:colOff>0</xdr:colOff>
                    <xdr:row>4</xdr:row>
                    <xdr:rowOff>123825</xdr:rowOff>
                  </from>
                  <to>
                    <xdr:col>15</xdr:col>
                    <xdr:colOff>323850</xdr:colOff>
                    <xdr:row>6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O44"/>
  <sheetViews>
    <sheetView zoomScale="70" zoomScaleNormal="70" workbookViewId="0">
      <selection activeCell="J32" sqref="J32"/>
    </sheetView>
  </sheetViews>
  <sheetFormatPr defaultRowHeight="12.75" x14ac:dyDescent="0.2"/>
  <cols>
    <col min="1" max="2" width="23.5" bestFit="1" customWidth="1"/>
    <col min="3" max="3" width="31.6640625" bestFit="1" customWidth="1"/>
    <col min="4" max="4" width="47" bestFit="1" customWidth="1"/>
    <col min="5" max="5" width="40.6640625" bestFit="1" customWidth="1"/>
    <col min="6" max="6" width="32.83203125" bestFit="1" customWidth="1"/>
    <col min="7" max="7" width="32" bestFit="1" customWidth="1"/>
    <col min="8" max="13" width="32.5" bestFit="1" customWidth="1"/>
    <col min="14" max="14" width="34.5" bestFit="1" customWidth="1"/>
    <col min="15" max="15" width="34.1640625" bestFit="1" customWidth="1"/>
    <col min="16" max="16" width="33.6640625" bestFit="1" customWidth="1"/>
    <col min="17" max="17" width="25.6640625" bestFit="1" customWidth="1"/>
    <col min="18" max="19" width="25" bestFit="1" customWidth="1"/>
    <col min="20" max="20" width="35.1640625" bestFit="1" customWidth="1"/>
    <col min="21" max="22" width="37.5" bestFit="1" customWidth="1"/>
    <col min="23" max="23" width="42.5" bestFit="1" customWidth="1"/>
    <col min="24" max="25" width="41.83203125" bestFit="1" customWidth="1"/>
    <col min="26" max="26" width="39.6640625" bestFit="1" customWidth="1"/>
    <col min="27" max="27" width="39" bestFit="1" customWidth="1"/>
    <col min="28" max="34" width="40.1640625" bestFit="1" customWidth="1"/>
    <col min="35" max="35" width="39.6640625" bestFit="1" customWidth="1"/>
    <col min="36" max="36" width="28.5" bestFit="1" customWidth="1"/>
    <col min="37" max="38" width="47.83203125" bestFit="1" customWidth="1"/>
    <col min="39" max="39" width="49" bestFit="1" customWidth="1"/>
    <col min="40" max="40" width="49.5" bestFit="1" customWidth="1"/>
    <col min="41" max="41" width="46.33203125" bestFit="1" customWidth="1"/>
    <col min="42" max="42" width="46.6640625" bestFit="1" customWidth="1"/>
    <col min="43" max="43" width="34" bestFit="1" customWidth="1"/>
    <col min="44" max="45" width="26.6640625" bestFit="1" customWidth="1"/>
    <col min="46" max="47" width="30.33203125" bestFit="1" customWidth="1"/>
    <col min="48" max="48" width="35.83203125" bestFit="1" customWidth="1"/>
    <col min="49" max="49" width="37" bestFit="1" customWidth="1"/>
    <col min="50" max="50" width="33.33203125" bestFit="1" customWidth="1"/>
    <col min="51" max="51" width="34.1640625" bestFit="1" customWidth="1"/>
    <col min="52" max="52" width="33.5" bestFit="1" customWidth="1"/>
    <col min="53" max="54" width="36.6640625" bestFit="1" customWidth="1"/>
    <col min="55" max="56" width="43.33203125" bestFit="1" customWidth="1"/>
    <col min="57" max="57" width="41.6640625" bestFit="1" customWidth="1"/>
    <col min="58" max="58" width="44.1640625" bestFit="1" customWidth="1"/>
    <col min="59" max="59" width="32" bestFit="1" customWidth="1"/>
    <col min="60" max="60" width="39.1640625" bestFit="1" customWidth="1"/>
    <col min="61" max="61" width="35.6640625" bestFit="1" customWidth="1"/>
    <col min="62" max="62" width="30.6640625" bestFit="1" customWidth="1"/>
    <col min="63" max="63" width="44" bestFit="1" customWidth="1"/>
    <col min="64" max="64" width="39" bestFit="1" customWidth="1"/>
    <col min="65" max="66" width="6.83203125" bestFit="1" customWidth="1"/>
    <col min="67" max="67" width="14.6640625" bestFit="1" customWidth="1"/>
  </cols>
  <sheetData>
    <row r="1" spans="1:67" x14ac:dyDescent="0.2">
      <c r="A1" s="39" t="s">
        <v>0</v>
      </c>
      <c r="B1" s="40" t="s">
        <v>1</v>
      </c>
      <c r="C1" s="41"/>
      <c r="D1" s="41"/>
      <c r="E1" s="41"/>
      <c r="F1" s="41"/>
      <c r="G1" s="41"/>
      <c r="H1" s="41"/>
      <c r="I1" s="41"/>
      <c r="J1" s="41"/>
      <c r="K1" s="41"/>
      <c r="L1" s="41"/>
      <c r="M1" s="42"/>
      <c r="N1" s="49" t="s">
        <v>2</v>
      </c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  <c r="AJ1" s="50"/>
      <c r="AK1" s="50"/>
      <c r="AL1" s="50"/>
      <c r="AM1" s="50"/>
      <c r="AN1" s="50"/>
      <c r="AO1" s="50"/>
      <c r="AP1" s="50"/>
      <c r="AQ1" s="50"/>
      <c r="AR1" s="50"/>
      <c r="AS1" s="50"/>
      <c r="AT1" s="50"/>
      <c r="AU1" s="50"/>
      <c r="AV1" s="50"/>
      <c r="AW1" s="50"/>
      <c r="AX1" s="50"/>
      <c r="AY1" s="50"/>
      <c r="AZ1" s="50"/>
      <c r="BA1" s="50"/>
      <c r="BB1" s="50"/>
      <c r="BC1" s="50"/>
      <c r="BD1" s="50"/>
      <c r="BE1" s="50"/>
      <c r="BF1" s="50"/>
      <c r="BG1" s="50"/>
      <c r="BH1" s="50"/>
      <c r="BI1" s="50"/>
      <c r="BJ1" s="50"/>
      <c r="BK1" s="50"/>
      <c r="BL1" s="50"/>
      <c r="BM1" s="50"/>
      <c r="BN1" s="50"/>
      <c r="BO1" s="51"/>
    </row>
    <row r="2" spans="1:67" x14ac:dyDescent="0.2">
      <c r="A2" s="39"/>
      <c r="B2" s="43"/>
      <c r="C2" s="44"/>
      <c r="D2" s="44"/>
      <c r="E2" s="44"/>
      <c r="F2" s="44"/>
      <c r="G2" s="44"/>
      <c r="H2" s="44"/>
      <c r="I2" s="44"/>
      <c r="J2" s="44"/>
      <c r="K2" s="44"/>
      <c r="L2" s="44"/>
      <c r="M2" s="45"/>
      <c r="N2" s="49" t="s">
        <v>3</v>
      </c>
      <c r="O2" s="50"/>
      <c r="P2" s="51"/>
      <c r="Q2" s="49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50"/>
      <c r="AO2" s="50"/>
      <c r="AP2" s="50"/>
      <c r="AQ2" s="50"/>
      <c r="AR2" s="50"/>
      <c r="AS2" s="50"/>
      <c r="AT2" s="50"/>
      <c r="AU2" s="50"/>
      <c r="AV2" s="50"/>
      <c r="AW2" s="50"/>
      <c r="AX2" s="50"/>
      <c r="AY2" s="50"/>
      <c r="AZ2" s="50"/>
      <c r="BA2" s="50"/>
      <c r="BB2" s="50"/>
      <c r="BC2" s="50"/>
      <c r="BD2" s="50"/>
      <c r="BE2" s="50"/>
      <c r="BF2" s="50"/>
      <c r="BG2" s="50"/>
      <c r="BH2" s="50"/>
      <c r="BI2" s="50"/>
      <c r="BJ2" s="50"/>
      <c r="BK2" s="50"/>
      <c r="BL2" s="50"/>
      <c r="BM2" s="50"/>
      <c r="BN2" s="51"/>
      <c r="BO2" s="1" t="s">
        <v>4</v>
      </c>
    </row>
    <row r="3" spans="1:67" x14ac:dyDescent="0.2">
      <c r="A3" s="39"/>
      <c r="B3" s="46"/>
      <c r="C3" s="47"/>
      <c r="D3" s="47"/>
      <c r="E3" s="47"/>
      <c r="F3" s="47"/>
      <c r="G3" s="47"/>
      <c r="H3" s="47"/>
      <c r="I3" s="47"/>
      <c r="J3" s="47"/>
      <c r="K3" s="47"/>
      <c r="L3" s="47"/>
      <c r="M3" s="48"/>
      <c r="N3" s="49" t="s">
        <v>5</v>
      </c>
      <c r="O3" s="50"/>
      <c r="P3" s="51"/>
      <c r="Q3" s="49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/>
      <c r="AS3" s="50"/>
      <c r="AT3" s="50"/>
      <c r="AU3" s="50"/>
      <c r="AV3" s="50"/>
      <c r="AW3" s="50"/>
      <c r="AX3" s="50"/>
      <c r="AY3" s="50"/>
      <c r="AZ3" s="50"/>
      <c r="BA3" s="50"/>
      <c r="BB3" s="50"/>
      <c r="BC3" s="50"/>
      <c r="BD3" s="50"/>
      <c r="BE3" s="50"/>
      <c r="BF3" s="50"/>
      <c r="BG3" s="50"/>
      <c r="BH3" s="50"/>
      <c r="BI3" s="50"/>
      <c r="BJ3" s="50"/>
      <c r="BK3" s="50"/>
      <c r="BL3" s="50"/>
      <c r="BM3" s="50"/>
      <c r="BN3" s="51"/>
      <c r="BO3" s="1" t="s">
        <v>6</v>
      </c>
    </row>
    <row r="4" spans="1:67" x14ac:dyDescent="0.2">
      <c r="A4" s="26" t="s">
        <v>7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8"/>
    </row>
    <row r="5" spans="1:67" ht="18.75" x14ac:dyDescent="0.2">
      <c r="A5" s="29"/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</row>
    <row r="6" spans="1:67" ht="15.75" x14ac:dyDescent="0.25">
      <c r="A6" s="2" t="s">
        <v>8</v>
      </c>
      <c r="B6" s="3"/>
      <c r="C6" s="3"/>
      <c r="D6" s="3"/>
      <c r="E6" s="3"/>
      <c r="F6" s="3"/>
      <c r="G6" s="3"/>
      <c r="H6" s="3"/>
      <c r="I6" s="3"/>
      <c r="J6" s="3" t="s">
        <v>9</v>
      </c>
      <c r="K6" s="3">
        <v>10</v>
      </c>
      <c r="L6" s="3"/>
      <c r="M6" s="3" t="s">
        <v>10</v>
      </c>
      <c r="N6" s="30">
        <v>2026</v>
      </c>
      <c r="O6" s="30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</row>
    <row r="7" spans="1:67" ht="15.7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</row>
    <row r="8" spans="1:67" ht="15.75" x14ac:dyDescent="0.25">
      <c r="A8" s="31" t="s">
        <v>11</v>
      </c>
      <c r="B8" s="33" t="s">
        <v>12</v>
      </c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5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36" t="s">
        <v>13</v>
      </c>
    </row>
    <row r="9" spans="1:67" x14ac:dyDescent="0.2">
      <c r="A9" s="31"/>
      <c r="B9" s="5" t="s">
        <v>14</v>
      </c>
      <c r="C9" s="5" t="s">
        <v>15</v>
      </c>
      <c r="D9" s="5" t="s">
        <v>16</v>
      </c>
      <c r="E9" s="5" t="s">
        <v>17</v>
      </c>
      <c r="F9" s="5" t="s">
        <v>18</v>
      </c>
      <c r="G9" s="5" t="s">
        <v>19</v>
      </c>
      <c r="H9" s="5" t="s">
        <v>20</v>
      </c>
      <c r="I9" s="5" t="s">
        <v>21</v>
      </c>
      <c r="J9" s="5" t="s">
        <v>22</v>
      </c>
      <c r="K9" s="5" t="s">
        <v>23</v>
      </c>
      <c r="L9" s="5" t="s">
        <v>24</v>
      </c>
      <c r="M9" s="5" t="s">
        <v>25</v>
      </c>
      <c r="N9" s="5" t="s">
        <v>26</v>
      </c>
      <c r="O9" s="5" t="s">
        <v>27</v>
      </c>
      <c r="P9" s="5" t="s">
        <v>28</v>
      </c>
      <c r="Q9" s="5" t="s">
        <v>29</v>
      </c>
      <c r="R9" s="5" t="s">
        <v>30</v>
      </c>
      <c r="S9" s="5" t="s">
        <v>31</v>
      </c>
      <c r="T9" s="5" t="s">
        <v>32</v>
      </c>
      <c r="U9" s="5" t="s">
        <v>33</v>
      </c>
      <c r="V9" s="5" t="s">
        <v>34</v>
      </c>
      <c r="W9" s="5" t="s">
        <v>35</v>
      </c>
      <c r="X9" s="5" t="s">
        <v>36</v>
      </c>
      <c r="Y9" s="5" t="s">
        <v>37</v>
      </c>
      <c r="Z9" s="5" t="s">
        <v>38</v>
      </c>
      <c r="AA9" s="5" t="s">
        <v>39</v>
      </c>
      <c r="AB9" s="5" t="s">
        <v>40</v>
      </c>
      <c r="AC9" s="5" t="s">
        <v>41</v>
      </c>
      <c r="AD9" s="5" t="s">
        <v>42</v>
      </c>
      <c r="AE9" s="5" t="s">
        <v>43</v>
      </c>
      <c r="AF9" s="5" t="s">
        <v>44</v>
      </c>
      <c r="AG9" s="5" t="s">
        <v>45</v>
      </c>
      <c r="AH9" s="5" t="s">
        <v>46</v>
      </c>
      <c r="AI9" s="5" t="s">
        <v>47</v>
      </c>
      <c r="AJ9" s="5" t="s">
        <v>48</v>
      </c>
      <c r="AK9" s="5" t="s">
        <v>49</v>
      </c>
      <c r="AL9" s="5" t="s">
        <v>50</v>
      </c>
      <c r="AM9" s="5" t="s">
        <v>51</v>
      </c>
      <c r="AN9" s="5" t="s">
        <v>52</v>
      </c>
      <c r="AO9" s="5" t="s">
        <v>53</v>
      </c>
      <c r="AP9" s="5" t="s">
        <v>54</v>
      </c>
      <c r="AQ9" s="5" t="s">
        <v>55</v>
      </c>
      <c r="AR9" s="5" t="s">
        <v>56</v>
      </c>
      <c r="AS9" s="5" t="s">
        <v>57</v>
      </c>
      <c r="AT9" s="5" t="s">
        <v>58</v>
      </c>
      <c r="AU9" s="5" t="s">
        <v>59</v>
      </c>
      <c r="AV9" s="5" t="s">
        <v>60</v>
      </c>
      <c r="AW9" s="5" t="s">
        <v>61</v>
      </c>
      <c r="AX9" s="5" t="s">
        <v>62</v>
      </c>
      <c r="AY9" s="5" t="s">
        <v>63</v>
      </c>
      <c r="AZ9" s="5" t="s">
        <v>64</v>
      </c>
      <c r="BA9" s="5" t="s">
        <v>65</v>
      </c>
      <c r="BB9" s="5" t="s">
        <v>66</v>
      </c>
      <c r="BC9" s="5" t="s">
        <v>67</v>
      </c>
      <c r="BD9" s="5" t="s">
        <v>68</v>
      </c>
      <c r="BE9" s="5" t="s">
        <v>69</v>
      </c>
      <c r="BF9" s="5" t="s">
        <v>70</v>
      </c>
      <c r="BG9" s="5" t="s">
        <v>71</v>
      </c>
      <c r="BH9" s="5" t="s">
        <v>72</v>
      </c>
      <c r="BI9" s="5" t="s">
        <v>73</v>
      </c>
      <c r="BJ9" s="5" t="s">
        <v>74</v>
      </c>
      <c r="BK9" s="5" t="s">
        <v>75</v>
      </c>
      <c r="BL9" s="5" t="s">
        <v>76</v>
      </c>
      <c r="BM9" s="5" t="s">
        <v>77</v>
      </c>
      <c r="BN9" s="5" t="s">
        <v>78</v>
      </c>
      <c r="BO9" s="37"/>
    </row>
    <row r="10" spans="1:67" ht="30" x14ac:dyDescent="0.25">
      <c r="A10" s="31"/>
      <c r="B10" s="6" t="s">
        <v>79</v>
      </c>
      <c r="C10" s="7" t="s">
        <v>80</v>
      </c>
      <c r="D10" s="8" t="s">
        <v>81</v>
      </c>
      <c r="E10" s="7" t="s">
        <v>82</v>
      </c>
      <c r="F10" s="7" t="s">
        <v>83</v>
      </c>
      <c r="G10" s="7" t="s">
        <v>84</v>
      </c>
      <c r="H10" s="7" t="s">
        <v>85</v>
      </c>
      <c r="I10" s="7" t="s">
        <v>86</v>
      </c>
      <c r="J10" s="7" t="s">
        <v>87</v>
      </c>
      <c r="K10" s="7" t="s">
        <v>88</v>
      </c>
      <c r="L10" s="7" t="s">
        <v>89</v>
      </c>
      <c r="M10" s="7" t="s">
        <v>90</v>
      </c>
      <c r="N10" s="7" t="s">
        <v>91</v>
      </c>
      <c r="O10" s="7" t="s">
        <v>92</v>
      </c>
      <c r="P10" s="7" t="s">
        <v>93</v>
      </c>
      <c r="Q10" s="7" t="s">
        <v>94</v>
      </c>
      <c r="R10" s="7" t="s">
        <v>95</v>
      </c>
      <c r="S10" s="7" t="s">
        <v>96</v>
      </c>
      <c r="T10" s="7" t="s">
        <v>97</v>
      </c>
      <c r="U10" s="8" t="s">
        <v>98</v>
      </c>
      <c r="V10" s="8" t="s">
        <v>99</v>
      </c>
      <c r="W10" s="7" t="s">
        <v>100</v>
      </c>
      <c r="X10" s="7" t="s">
        <v>101</v>
      </c>
      <c r="Y10" s="7" t="s">
        <v>102</v>
      </c>
      <c r="Z10" s="7" t="s">
        <v>103</v>
      </c>
      <c r="AA10" s="7" t="s">
        <v>104</v>
      </c>
      <c r="AB10" s="7" t="s">
        <v>105</v>
      </c>
      <c r="AC10" s="7" t="s">
        <v>106</v>
      </c>
      <c r="AD10" s="7" t="s">
        <v>107</v>
      </c>
      <c r="AE10" s="7" t="s">
        <v>108</v>
      </c>
      <c r="AF10" s="7" t="s">
        <v>109</v>
      </c>
      <c r="AG10" s="7" t="s">
        <v>110</v>
      </c>
      <c r="AH10" s="7" t="s">
        <v>111</v>
      </c>
      <c r="AI10" s="7" t="s">
        <v>112</v>
      </c>
      <c r="AJ10" s="7" t="s">
        <v>113</v>
      </c>
      <c r="AK10" s="8" t="s">
        <v>114</v>
      </c>
      <c r="AL10" s="8" t="s">
        <v>115</v>
      </c>
      <c r="AM10" s="8" t="s">
        <v>116</v>
      </c>
      <c r="AN10" s="8" t="s">
        <v>117</v>
      </c>
      <c r="AO10" s="8" t="s">
        <v>118</v>
      </c>
      <c r="AP10" s="8" t="s">
        <v>119</v>
      </c>
      <c r="AQ10" s="8" t="s">
        <v>120</v>
      </c>
      <c r="AR10" s="8" t="s">
        <v>121</v>
      </c>
      <c r="AS10" s="8" t="s">
        <v>122</v>
      </c>
      <c r="AT10" s="9" t="s">
        <v>123</v>
      </c>
      <c r="AU10" s="9" t="s">
        <v>124</v>
      </c>
      <c r="AV10" s="9" t="s">
        <v>125</v>
      </c>
      <c r="AW10" s="9" t="s">
        <v>126</v>
      </c>
      <c r="AX10" s="9" t="s">
        <v>127</v>
      </c>
      <c r="AY10" s="10" t="s">
        <v>128</v>
      </c>
      <c r="AZ10" s="11" t="s">
        <v>129</v>
      </c>
      <c r="BA10" s="11" t="s">
        <v>130</v>
      </c>
      <c r="BB10" s="11" t="s">
        <v>131</v>
      </c>
      <c r="BC10" s="11" t="s">
        <v>132</v>
      </c>
      <c r="BD10" s="11" t="s">
        <v>133</v>
      </c>
      <c r="BE10" s="12" t="s">
        <v>134</v>
      </c>
      <c r="BF10" s="9" t="s">
        <v>135</v>
      </c>
      <c r="BG10" s="9" t="s">
        <v>136</v>
      </c>
      <c r="BH10" s="9" t="s">
        <v>137</v>
      </c>
      <c r="BI10" s="9" t="s">
        <v>138</v>
      </c>
      <c r="BJ10" s="9" t="s">
        <v>139</v>
      </c>
      <c r="BK10" s="9" t="s">
        <v>140</v>
      </c>
      <c r="BL10" s="9" t="s">
        <v>141</v>
      </c>
      <c r="BM10" s="12"/>
      <c r="BN10" s="12"/>
      <c r="BO10" s="37"/>
    </row>
    <row r="11" spans="1:67" ht="15" x14ac:dyDescent="0.25">
      <c r="A11" s="32"/>
      <c r="B11" s="6" t="s">
        <v>142</v>
      </c>
      <c r="C11" s="13" t="s">
        <v>143</v>
      </c>
      <c r="D11" s="11" t="s">
        <v>144</v>
      </c>
      <c r="E11" s="14" t="s">
        <v>145</v>
      </c>
      <c r="F11" s="7" t="s">
        <v>146</v>
      </c>
      <c r="G11" s="7" t="s">
        <v>147</v>
      </c>
      <c r="H11" s="7" t="s">
        <v>148</v>
      </c>
      <c r="I11" s="7" t="s">
        <v>149</v>
      </c>
      <c r="J11" s="7" t="s">
        <v>150</v>
      </c>
      <c r="K11" s="7" t="s">
        <v>151</v>
      </c>
      <c r="L11" s="7" t="s">
        <v>152</v>
      </c>
      <c r="M11" s="7" t="s">
        <v>153</v>
      </c>
      <c r="N11" s="7" t="s">
        <v>154</v>
      </c>
      <c r="O11" s="7" t="s">
        <v>155</v>
      </c>
      <c r="P11" s="7" t="s">
        <v>156</v>
      </c>
      <c r="Q11" s="7" t="s">
        <v>157</v>
      </c>
      <c r="R11" s="7" t="s">
        <v>158</v>
      </c>
      <c r="S11" s="7" t="s">
        <v>159</v>
      </c>
      <c r="T11" s="7" t="s">
        <v>160</v>
      </c>
      <c r="U11" s="15" t="s">
        <v>161</v>
      </c>
      <c r="V11" s="15" t="s">
        <v>162</v>
      </c>
      <c r="W11" s="7" t="s">
        <v>163</v>
      </c>
      <c r="X11" s="7" t="s">
        <v>164</v>
      </c>
      <c r="Y11" s="7" t="s">
        <v>165</v>
      </c>
      <c r="Z11" s="7" t="s">
        <v>166</v>
      </c>
      <c r="AA11" s="7" t="s">
        <v>167</v>
      </c>
      <c r="AB11" s="7" t="s">
        <v>168</v>
      </c>
      <c r="AC11" s="7" t="s">
        <v>169</v>
      </c>
      <c r="AD11" s="7" t="s">
        <v>170</v>
      </c>
      <c r="AE11" s="7" t="s">
        <v>171</v>
      </c>
      <c r="AF11" s="7" t="s">
        <v>172</v>
      </c>
      <c r="AG11" s="7" t="s">
        <v>173</v>
      </c>
      <c r="AH11" s="7" t="s">
        <v>174</v>
      </c>
      <c r="AI11" s="7" t="s">
        <v>175</v>
      </c>
      <c r="AJ11" s="7" t="s">
        <v>176</v>
      </c>
      <c r="AK11" s="16" t="s">
        <v>177</v>
      </c>
      <c r="AL11" s="16" t="s">
        <v>178</v>
      </c>
      <c r="AM11" s="16" t="s">
        <v>179</v>
      </c>
      <c r="AN11" s="16" t="s">
        <v>180</v>
      </c>
      <c r="AO11" s="16" t="s">
        <v>181</v>
      </c>
      <c r="AP11" s="16" t="s">
        <v>182</v>
      </c>
      <c r="AQ11" s="17" t="s">
        <v>183</v>
      </c>
      <c r="AR11" s="17" t="s">
        <v>184</v>
      </c>
      <c r="AS11" s="17" t="s">
        <v>185</v>
      </c>
      <c r="AT11" s="17" t="s">
        <v>186</v>
      </c>
      <c r="AU11" s="17" t="s">
        <v>187</v>
      </c>
      <c r="AV11" s="17" t="s">
        <v>188</v>
      </c>
      <c r="AW11" s="17" t="s">
        <v>189</v>
      </c>
      <c r="AX11" s="17" t="s">
        <v>190</v>
      </c>
      <c r="AY11" s="16" t="s">
        <v>191</v>
      </c>
      <c r="AZ11" s="16" t="s">
        <v>192</v>
      </c>
      <c r="BA11" s="16" t="s">
        <v>193</v>
      </c>
      <c r="BB11" s="16" t="s">
        <v>194</v>
      </c>
      <c r="BC11" s="16" t="s">
        <v>195</v>
      </c>
      <c r="BD11" s="16" t="s">
        <v>196</v>
      </c>
      <c r="BE11" s="16" t="s">
        <v>197</v>
      </c>
      <c r="BF11" s="16" t="s">
        <v>198</v>
      </c>
      <c r="BG11" s="16" t="s">
        <v>199</v>
      </c>
      <c r="BH11" s="16" t="s">
        <v>200</v>
      </c>
      <c r="BI11" s="16" t="s">
        <v>201</v>
      </c>
      <c r="BJ11" s="16" t="s">
        <v>202</v>
      </c>
      <c r="BK11" s="16" t="s">
        <v>203</v>
      </c>
      <c r="BL11" s="16" t="s">
        <v>204</v>
      </c>
      <c r="BM11" s="16"/>
      <c r="BN11" s="18"/>
      <c r="BO11" s="38"/>
    </row>
    <row r="12" spans="1:67" ht="15.75" x14ac:dyDescent="0.2">
      <c r="A12" s="23">
        <f>DATE(N6,K6,1)</f>
        <v>46296</v>
      </c>
      <c r="B12" s="24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20"/>
      <c r="BJ12" s="20"/>
      <c r="BK12" s="20"/>
      <c r="BL12" s="20"/>
      <c r="BM12" s="20"/>
      <c r="BN12" s="20"/>
      <c r="BO12" s="19"/>
    </row>
    <row r="13" spans="1:67" ht="15.75" x14ac:dyDescent="0.2">
      <c r="A13" s="23">
        <f>A12+1</f>
        <v>46297</v>
      </c>
      <c r="B13" s="24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</row>
    <row r="14" spans="1:67" ht="15.75" x14ac:dyDescent="0.2">
      <c r="A14" s="23">
        <f t="shared" ref="A14:A39" si="0">A13+1</f>
        <v>46298</v>
      </c>
      <c r="B14" s="24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</row>
    <row r="15" spans="1:67" ht="15.75" x14ac:dyDescent="0.2">
      <c r="A15" s="23">
        <f t="shared" si="0"/>
        <v>46299</v>
      </c>
      <c r="B15" s="24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</row>
    <row r="16" spans="1:67" ht="15.75" x14ac:dyDescent="0.2">
      <c r="A16" s="23">
        <f t="shared" si="0"/>
        <v>46300</v>
      </c>
      <c r="B16" s="24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</row>
    <row r="17" spans="1:67" ht="15.75" x14ac:dyDescent="0.2">
      <c r="A17" s="23">
        <f t="shared" si="0"/>
        <v>46301</v>
      </c>
      <c r="B17" s="24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</row>
    <row r="18" spans="1:67" ht="15.75" x14ac:dyDescent="0.2">
      <c r="A18" s="23">
        <f t="shared" si="0"/>
        <v>46302</v>
      </c>
      <c r="B18" s="24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</row>
    <row r="19" spans="1:67" ht="15.75" x14ac:dyDescent="0.2">
      <c r="A19" s="23">
        <f t="shared" si="0"/>
        <v>46303</v>
      </c>
      <c r="B19" s="24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</row>
    <row r="20" spans="1:67" ht="15.75" x14ac:dyDescent="0.2">
      <c r="A20" s="23">
        <f t="shared" si="0"/>
        <v>46304</v>
      </c>
      <c r="B20" s="24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</row>
    <row r="21" spans="1:67" ht="15.75" x14ac:dyDescent="0.2">
      <c r="A21" s="23">
        <f t="shared" si="0"/>
        <v>46305</v>
      </c>
      <c r="B21" s="24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  <c r="BO21" s="19"/>
    </row>
    <row r="22" spans="1:67" ht="15.75" x14ac:dyDescent="0.2">
      <c r="A22" s="23">
        <f t="shared" si="0"/>
        <v>46306</v>
      </c>
      <c r="B22" s="24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</row>
    <row r="23" spans="1:67" ht="15.75" x14ac:dyDescent="0.2">
      <c r="A23" s="23">
        <f t="shared" si="0"/>
        <v>46307</v>
      </c>
      <c r="B23" s="24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</row>
    <row r="24" spans="1:67" ht="15.75" x14ac:dyDescent="0.2">
      <c r="A24" s="23">
        <f t="shared" si="0"/>
        <v>46308</v>
      </c>
      <c r="B24" s="24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</row>
    <row r="25" spans="1:67" ht="15.75" x14ac:dyDescent="0.2">
      <c r="A25" s="23">
        <f t="shared" si="0"/>
        <v>46309</v>
      </c>
      <c r="B25" s="24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/>
      <c r="BO25" s="19"/>
    </row>
    <row r="26" spans="1:67" ht="15.75" x14ac:dyDescent="0.2">
      <c r="A26" s="23">
        <f t="shared" si="0"/>
        <v>46310</v>
      </c>
      <c r="B26" s="24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</row>
    <row r="27" spans="1:67" ht="15.75" x14ac:dyDescent="0.2">
      <c r="A27" s="23">
        <f t="shared" si="0"/>
        <v>46311</v>
      </c>
      <c r="B27" s="24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</row>
    <row r="28" spans="1:67" ht="15.75" x14ac:dyDescent="0.2">
      <c r="A28" s="23">
        <f t="shared" si="0"/>
        <v>46312</v>
      </c>
      <c r="B28" s="24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</row>
    <row r="29" spans="1:67" ht="15.75" x14ac:dyDescent="0.2">
      <c r="A29" s="23">
        <f t="shared" si="0"/>
        <v>46313</v>
      </c>
      <c r="B29" s="24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</row>
    <row r="30" spans="1:67" ht="15.75" x14ac:dyDescent="0.2">
      <c r="A30" s="23">
        <f t="shared" si="0"/>
        <v>46314</v>
      </c>
      <c r="B30" s="24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</row>
    <row r="31" spans="1:67" ht="15.75" x14ac:dyDescent="0.2">
      <c r="A31" s="23">
        <f t="shared" si="0"/>
        <v>46315</v>
      </c>
      <c r="B31" s="24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</row>
    <row r="32" spans="1:67" ht="15.75" x14ac:dyDescent="0.2">
      <c r="A32" s="23">
        <f t="shared" si="0"/>
        <v>46316</v>
      </c>
      <c r="B32" s="24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</row>
    <row r="33" spans="1:67" ht="15.75" x14ac:dyDescent="0.2">
      <c r="A33" s="23">
        <f t="shared" si="0"/>
        <v>46317</v>
      </c>
      <c r="B33" s="24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19"/>
      <c r="BN33" s="19"/>
      <c r="BO33" s="19"/>
    </row>
    <row r="34" spans="1:67" ht="15.75" x14ac:dyDescent="0.2">
      <c r="A34" s="23">
        <f>A33+1</f>
        <v>46318</v>
      </c>
      <c r="B34" s="24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/>
      <c r="BG34" s="19"/>
      <c r="BH34" s="19"/>
      <c r="BI34" s="19"/>
      <c r="BJ34" s="19"/>
      <c r="BK34" s="19"/>
      <c r="BL34" s="19"/>
      <c r="BM34" s="19"/>
      <c r="BN34" s="19"/>
      <c r="BO34" s="19"/>
    </row>
    <row r="35" spans="1:67" ht="15.75" x14ac:dyDescent="0.2">
      <c r="A35" s="23">
        <f t="shared" si="0"/>
        <v>46319</v>
      </c>
      <c r="B35" s="24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/>
      <c r="BG35" s="19"/>
      <c r="BH35" s="19"/>
      <c r="BI35" s="19"/>
      <c r="BJ35" s="19"/>
      <c r="BK35" s="19"/>
      <c r="BL35" s="19"/>
      <c r="BM35" s="19"/>
      <c r="BN35" s="19"/>
      <c r="BO35" s="19"/>
    </row>
    <row r="36" spans="1:67" ht="15.75" x14ac:dyDescent="0.2">
      <c r="A36" s="23">
        <f t="shared" si="0"/>
        <v>46320</v>
      </c>
      <c r="B36" s="24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19"/>
      <c r="BJ36" s="19"/>
      <c r="BK36" s="19"/>
      <c r="BL36" s="19"/>
      <c r="BM36" s="19"/>
      <c r="BN36" s="19"/>
      <c r="BO36" s="19"/>
    </row>
    <row r="37" spans="1:67" ht="15.75" x14ac:dyDescent="0.2">
      <c r="A37" s="23">
        <f t="shared" si="0"/>
        <v>46321</v>
      </c>
      <c r="B37" s="24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19"/>
      <c r="BJ37" s="19"/>
      <c r="BK37" s="19"/>
      <c r="BL37" s="19"/>
      <c r="BM37" s="19"/>
      <c r="BN37" s="19"/>
      <c r="BO37" s="19"/>
    </row>
    <row r="38" spans="1:67" ht="15.75" x14ac:dyDescent="0.2">
      <c r="A38" s="23">
        <f t="shared" si="0"/>
        <v>46322</v>
      </c>
      <c r="B38" s="24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/>
      <c r="BG38" s="19"/>
      <c r="BH38" s="19"/>
      <c r="BI38" s="19"/>
      <c r="BJ38" s="19"/>
      <c r="BK38" s="19"/>
      <c r="BL38" s="19"/>
      <c r="BM38" s="19"/>
      <c r="BN38" s="19"/>
      <c r="BO38" s="19"/>
    </row>
    <row r="39" spans="1:67" ht="15.75" x14ac:dyDescent="0.2">
      <c r="A39" s="23">
        <f t="shared" si="0"/>
        <v>46323</v>
      </c>
      <c r="B39" s="24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/>
      <c r="BG39" s="19"/>
      <c r="BH39" s="19"/>
      <c r="BI39" s="19"/>
      <c r="BJ39" s="19"/>
      <c r="BK39" s="19"/>
      <c r="BL39" s="19"/>
      <c r="BM39" s="19"/>
      <c r="BN39" s="19"/>
      <c r="BO39" s="19"/>
    </row>
    <row r="40" spans="1:67" ht="15.75" x14ac:dyDescent="0.2">
      <c r="A40" s="23">
        <f>IF(A39="","",IF(A39=EOMONTH(DATE($N$6,$K$6,1),0),"",A39+1))</f>
        <v>46324</v>
      </c>
      <c r="B40" s="24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/>
      <c r="BG40" s="19"/>
      <c r="BH40" s="19"/>
      <c r="BI40" s="19"/>
      <c r="BJ40" s="19"/>
      <c r="BK40" s="19"/>
      <c r="BL40" s="19"/>
      <c r="BM40" s="19"/>
      <c r="BN40" s="19"/>
      <c r="BO40" s="19"/>
    </row>
    <row r="41" spans="1:67" ht="15.75" x14ac:dyDescent="0.2">
      <c r="A41" s="23">
        <f>IF(A40="","",IF(A40=EOMONTH(DATE($N$6,$K$6,1),0),"",A40+1))</f>
        <v>46325</v>
      </c>
      <c r="B41" s="24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/>
      <c r="BG41" s="19"/>
      <c r="BH41" s="19"/>
      <c r="BI41" s="19"/>
      <c r="BJ41" s="19"/>
      <c r="BK41" s="19"/>
      <c r="BL41" s="19"/>
      <c r="BM41" s="19"/>
      <c r="BN41" s="19"/>
      <c r="BO41" s="19"/>
    </row>
    <row r="42" spans="1:67" ht="15.75" x14ac:dyDescent="0.2">
      <c r="A42" s="23">
        <f>IF(A41="","",IF(A41=EOMONTH(DATE($N$6,$K$6,1),0),"",A41+1))</f>
        <v>46326</v>
      </c>
      <c r="B42" s="24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/>
      <c r="BG42" s="19"/>
      <c r="BH42" s="19"/>
      <c r="BI42" s="19"/>
      <c r="BJ42" s="19"/>
      <c r="BK42" s="19"/>
      <c r="BL42" s="19"/>
      <c r="BM42" s="19"/>
      <c r="BN42" s="19"/>
      <c r="BO42" s="19"/>
    </row>
    <row r="43" spans="1:67" ht="13.5" x14ac:dyDescent="0.25">
      <c r="A43" s="21" t="s">
        <v>205</v>
      </c>
      <c r="B43" s="25" t="s">
        <v>206</v>
      </c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</row>
    <row r="44" spans="1:67" x14ac:dyDescent="0.2">
      <c r="A44" s="22"/>
      <c r="B44" s="22" t="s">
        <v>207</v>
      </c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 t="s">
        <v>208</v>
      </c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</row>
  </sheetData>
  <mergeCells count="45">
    <mergeCell ref="A1:A3"/>
    <mergeCell ref="B1:M3"/>
    <mergeCell ref="N1:BO1"/>
    <mergeCell ref="N2:P2"/>
    <mergeCell ref="Q2:BN2"/>
    <mergeCell ref="N3:P3"/>
    <mergeCell ref="Q3:BN3"/>
    <mergeCell ref="A4:BO4"/>
    <mergeCell ref="A5:BO5"/>
    <mergeCell ref="N6:O6"/>
    <mergeCell ref="A8:A11"/>
    <mergeCell ref="B8:P8"/>
    <mergeCell ref="BO8:BO11"/>
    <mergeCell ref="A23:B23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35:B35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42:B42"/>
    <mergeCell ref="B43:N43"/>
    <mergeCell ref="A36:B36"/>
    <mergeCell ref="A37:B37"/>
    <mergeCell ref="A38:B38"/>
    <mergeCell ref="A39:B39"/>
    <mergeCell ref="A40:B40"/>
    <mergeCell ref="A41:B41"/>
  </mergeCells>
  <conditionalFormatting sqref="AR10">
    <cfRule type="duplicateValues" dxfId="5" priority="2"/>
  </conditionalFormatting>
  <conditionalFormatting sqref="AS10">
    <cfRule type="duplicateValues" dxfId="4" priority="1"/>
  </conditionalFormatting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9" r:id="rId3" name="Spinner 3">
              <controlPr defaultSize="0" autoPict="0">
                <anchor moveWithCells="1" sizeWithCells="1">
                  <from>
                    <xdr:col>11</xdr:col>
                    <xdr:colOff>19050</xdr:colOff>
                    <xdr:row>4</xdr:row>
                    <xdr:rowOff>123825</xdr:rowOff>
                  </from>
                  <to>
                    <xdr:col>11</xdr:col>
                    <xdr:colOff>342900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" r:id="rId4" name="Spinner 4">
              <controlPr defaultSize="0" autoPict="0">
                <anchor moveWithCells="1" sizeWithCells="1">
                  <from>
                    <xdr:col>15</xdr:col>
                    <xdr:colOff>0</xdr:colOff>
                    <xdr:row>4</xdr:row>
                    <xdr:rowOff>123825</xdr:rowOff>
                  </from>
                  <to>
                    <xdr:col>15</xdr:col>
                    <xdr:colOff>323850</xdr:colOff>
                    <xdr:row>6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O44"/>
  <sheetViews>
    <sheetView zoomScale="70" zoomScaleNormal="70" workbookViewId="0">
      <selection activeCell="I39" sqref="I39"/>
    </sheetView>
  </sheetViews>
  <sheetFormatPr defaultRowHeight="12.75" x14ac:dyDescent="0.2"/>
  <cols>
    <col min="1" max="2" width="23.5" bestFit="1" customWidth="1"/>
    <col min="3" max="3" width="31.6640625" bestFit="1" customWidth="1"/>
    <col min="4" max="4" width="47" bestFit="1" customWidth="1"/>
    <col min="5" max="5" width="40.6640625" bestFit="1" customWidth="1"/>
    <col min="6" max="6" width="32.83203125" bestFit="1" customWidth="1"/>
    <col min="7" max="7" width="32" bestFit="1" customWidth="1"/>
    <col min="8" max="13" width="32.5" bestFit="1" customWidth="1"/>
    <col min="14" max="14" width="34.5" bestFit="1" customWidth="1"/>
    <col min="15" max="15" width="34.1640625" bestFit="1" customWidth="1"/>
    <col min="16" max="16" width="33.6640625" bestFit="1" customWidth="1"/>
    <col min="17" max="17" width="25.6640625" bestFit="1" customWidth="1"/>
    <col min="18" max="19" width="25" bestFit="1" customWidth="1"/>
    <col min="20" max="20" width="35.1640625" bestFit="1" customWidth="1"/>
    <col min="21" max="22" width="37.5" bestFit="1" customWidth="1"/>
    <col min="23" max="23" width="42.5" bestFit="1" customWidth="1"/>
    <col min="24" max="25" width="41.83203125" bestFit="1" customWidth="1"/>
    <col min="26" max="26" width="39.6640625" bestFit="1" customWidth="1"/>
    <col min="27" max="27" width="39" bestFit="1" customWidth="1"/>
    <col min="28" max="34" width="40.1640625" bestFit="1" customWidth="1"/>
    <col min="35" max="35" width="39.6640625" bestFit="1" customWidth="1"/>
    <col min="36" max="36" width="28.5" bestFit="1" customWidth="1"/>
    <col min="37" max="38" width="47.83203125" bestFit="1" customWidth="1"/>
    <col min="39" max="39" width="49" bestFit="1" customWidth="1"/>
    <col min="40" max="40" width="49.5" bestFit="1" customWidth="1"/>
    <col min="41" max="41" width="46.33203125" bestFit="1" customWidth="1"/>
    <col min="42" max="42" width="46.6640625" bestFit="1" customWidth="1"/>
    <col min="43" max="43" width="34" bestFit="1" customWidth="1"/>
    <col min="44" max="45" width="26.6640625" bestFit="1" customWidth="1"/>
    <col min="46" max="47" width="30.33203125" bestFit="1" customWidth="1"/>
    <col min="48" max="48" width="35.83203125" bestFit="1" customWidth="1"/>
    <col min="49" max="49" width="37" bestFit="1" customWidth="1"/>
    <col min="50" max="50" width="33.33203125" bestFit="1" customWidth="1"/>
    <col min="51" max="51" width="34.1640625" bestFit="1" customWidth="1"/>
    <col min="52" max="52" width="33.5" bestFit="1" customWidth="1"/>
    <col min="53" max="54" width="36.6640625" bestFit="1" customWidth="1"/>
    <col min="55" max="56" width="43.33203125" bestFit="1" customWidth="1"/>
    <col min="57" max="57" width="41.6640625" bestFit="1" customWidth="1"/>
    <col min="58" max="58" width="44.1640625" bestFit="1" customWidth="1"/>
    <col min="59" max="59" width="32" bestFit="1" customWidth="1"/>
    <col min="60" max="60" width="39.1640625" bestFit="1" customWidth="1"/>
    <col min="61" max="61" width="35.6640625" bestFit="1" customWidth="1"/>
    <col min="62" max="62" width="30.6640625" bestFit="1" customWidth="1"/>
    <col min="63" max="63" width="44" bestFit="1" customWidth="1"/>
    <col min="64" max="64" width="39" bestFit="1" customWidth="1"/>
    <col min="65" max="66" width="6.83203125" bestFit="1" customWidth="1"/>
    <col min="67" max="67" width="14.6640625" bestFit="1" customWidth="1"/>
  </cols>
  <sheetData>
    <row r="1" spans="1:67" x14ac:dyDescent="0.2">
      <c r="A1" s="39" t="s">
        <v>0</v>
      </c>
      <c r="B1" s="40" t="s">
        <v>1</v>
      </c>
      <c r="C1" s="41"/>
      <c r="D1" s="41"/>
      <c r="E1" s="41"/>
      <c r="F1" s="41"/>
      <c r="G1" s="41"/>
      <c r="H1" s="41"/>
      <c r="I1" s="41"/>
      <c r="J1" s="41"/>
      <c r="K1" s="41"/>
      <c r="L1" s="41"/>
      <c r="M1" s="42"/>
      <c r="N1" s="49" t="s">
        <v>2</v>
      </c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  <c r="AJ1" s="50"/>
      <c r="AK1" s="50"/>
      <c r="AL1" s="50"/>
      <c r="AM1" s="50"/>
      <c r="AN1" s="50"/>
      <c r="AO1" s="50"/>
      <c r="AP1" s="50"/>
      <c r="AQ1" s="50"/>
      <c r="AR1" s="50"/>
      <c r="AS1" s="50"/>
      <c r="AT1" s="50"/>
      <c r="AU1" s="50"/>
      <c r="AV1" s="50"/>
      <c r="AW1" s="50"/>
      <c r="AX1" s="50"/>
      <c r="AY1" s="50"/>
      <c r="AZ1" s="50"/>
      <c r="BA1" s="50"/>
      <c r="BB1" s="50"/>
      <c r="BC1" s="50"/>
      <c r="BD1" s="50"/>
      <c r="BE1" s="50"/>
      <c r="BF1" s="50"/>
      <c r="BG1" s="50"/>
      <c r="BH1" s="50"/>
      <c r="BI1" s="50"/>
      <c r="BJ1" s="50"/>
      <c r="BK1" s="50"/>
      <c r="BL1" s="50"/>
      <c r="BM1" s="50"/>
      <c r="BN1" s="50"/>
      <c r="BO1" s="51"/>
    </row>
    <row r="2" spans="1:67" x14ac:dyDescent="0.2">
      <c r="A2" s="39"/>
      <c r="B2" s="43"/>
      <c r="C2" s="44"/>
      <c r="D2" s="44"/>
      <c r="E2" s="44"/>
      <c r="F2" s="44"/>
      <c r="G2" s="44"/>
      <c r="H2" s="44"/>
      <c r="I2" s="44"/>
      <c r="J2" s="44"/>
      <c r="K2" s="44"/>
      <c r="L2" s="44"/>
      <c r="M2" s="45"/>
      <c r="N2" s="49" t="s">
        <v>3</v>
      </c>
      <c r="O2" s="50"/>
      <c r="P2" s="51"/>
      <c r="Q2" s="49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50"/>
      <c r="AO2" s="50"/>
      <c r="AP2" s="50"/>
      <c r="AQ2" s="50"/>
      <c r="AR2" s="50"/>
      <c r="AS2" s="50"/>
      <c r="AT2" s="50"/>
      <c r="AU2" s="50"/>
      <c r="AV2" s="50"/>
      <c r="AW2" s="50"/>
      <c r="AX2" s="50"/>
      <c r="AY2" s="50"/>
      <c r="AZ2" s="50"/>
      <c r="BA2" s="50"/>
      <c r="BB2" s="50"/>
      <c r="BC2" s="50"/>
      <c r="BD2" s="50"/>
      <c r="BE2" s="50"/>
      <c r="BF2" s="50"/>
      <c r="BG2" s="50"/>
      <c r="BH2" s="50"/>
      <c r="BI2" s="50"/>
      <c r="BJ2" s="50"/>
      <c r="BK2" s="50"/>
      <c r="BL2" s="50"/>
      <c r="BM2" s="50"/>
      <c r="BN2" s="51"/>
      <c r="BO2" s="1" t="s">
        <v>4</v>
      </c>
    </row>
    <row r="3" spans="1:67" x14ac:dyDescent="0.2">
      <c r="A3" s="39"/>
      <c r="B3" s="46"/>
      <c r="C3" s="47"/>
      <c r="D3" s="47"/>
      <c r="E3" s="47"/>
      <c r="F3" s="47"/>
      <c r="G3" s="47"/>
      <c r="H3" s="47"/>
      <c r="I3" s="47"/>
      <c r="J3" s="47"/>
      <c r="K3" s="47"/>
      <c r="L3" s="47"/>
      <c r="M3" s="48"/>
      <c r="N3" s="49" t="s">
        <v>5</v>
      </c>
      <c r="O3" s="50"/>
      <c r="P3" s="51"/>
      <c r="Q3" s="49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/>
      <c r="AS3" s="50"/>
      <c r="AT3" s="50"/>
      <c r="AU3" s="50"/>
      <c r="AV3" s="50"/>
      <c r="AW3" s="50"/>
      <c r="AX3" s="50"/>
      <c r="AY3" s="50"/>
      <c r="AZ3" s="50"/>
      <c r="BA3" s="50"/>
      <c r="BB3" s="50"/>
      <c r="BC3" s="50"/>
      <c r="BD3" s="50"/>
      <c r="BE3" s="50"/>
      <c r="BF3" s="50"/>
      <c r="BG3" s="50"/>
      <c r="BH3" s="50"/>
      <c r="BI3" s="50"/>
      <c r="BJ3" s="50"/>
      <c r="BK3" s="50"/>
      <c r="BL3" s="50"/>
      <c r="BM3" s="50"/>
      <c r="BN3" s="51"/>
      <c r="BO3" s="1" t="s">
        <v>6</v>
      </c>
    </row>
    <row r="4" spans="1:67" x14ac:dyDescent="0.2">
      <c r="A4" s="26" t="s">
        <v>7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8"/>
    </row>
    <row r="5" spans="1:67" ht="18.75" x14ac:dyDescent="0.2">
      <c r="A5" s="29"/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</row>
    <row r="6" spans="1:67" ht="15.75" x14ac:dyDescent="0.25">
      <c r="A6" s="2" t="s">
        <v>8</v>
      </c>
      <c r="B6" s="3"/>
      <c r="C6" s="3"/>
      <c r="D6" s="3"/>
      <c r="E6" s="3"/>
      <c r="F6" s="3"/>
      <c r="G6" s="3"/>
      <c r="H6" s="3"/>
      <c r="I6" s="3"/>
      <c r="J6" s="3" t="s">
        <v>9</v>
      </c>
      <c r="K6" s="3">
        <v>11</v>
      </c>
      <c r="L6" s="3"/>
      <c r="M6" s="3" t="s">
        <v>10</v>
      </c>
      <c r="N6" s="30">
        <v>2026</v>
      </c>
      <c r="O6" s="30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</row>
    <row r="7" spans="1:67" ht="15.7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</row>
    <row r="8" spans="1:67" ht="15.75" x14ac:dyDescent="0.25">
      <c r="A8" s="31" t="s">
        <v>11</v>
      </c>
      <c r="B8" s="33" t="s">
        <v>12</v>
      </c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5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36" t="s">
        <v>13</v>
      </c>
    </row>
    <row r="9" spans="1:67" x14ac:dyDescent="0.2">
      <c r="A9" s="31"/>
      <c r="B9" s="5" t="s">
        <v>14</v>
      </c>
      <c r="C9" s="5" t="s">
        <v>15</v>
      </c>
      <c r="D9" s="5" t="s">
        <v>16</v>
      </c>
      <c r="E9" s="5" t="s">
        <v>17</v>
      </c>
      <c r="F9" s="5" t="s">
        <v>18</v>
      </c>
      <c r="G9" s="5" t="s">
        <v>19</v>
      </c>
      <c r="H9" s="5" t="s">
        <v>20</v>
      </c>
      <c r="I9" s="5" t="s">
        <v>21</v>
      </c>
      <c r="J9" s="5" t="s">
        <v>22</v>
      </c>
      <c r="K9" s="5" t="s">
        <v>23</v>
      </c>
      <c r="L9" s="5" t="s">
        <v>24</v>
      </c>
      <c r="M9" s="5" t="s">
        <v>25</v>
      </c>
      <c r="N9" s="5" t="s">
        <v>26</v>
      </c>
      <c r="O9" s="5" t="s">
        <v>27</v>
      </c>
      <c r="P9" s="5" t="s">
        <v>28</v>
      </c>
      <c r="Q9" s="5" t="s">
        <v>29</v>
      </c>
      <c r="R9" s="5" t="s">
        <v>30</v>
      </c>
      <c r="S9" s="5" t="s">
        <v>31</v>
      </c>
      <c r="T9" s="5" t="s">
        <v>32</v>
      </c>
      <c r="U9" s="5" t="s">
        <v>33</v>
      </c>
      <c r="V9" s="5" t="s">
        <v>34</v>
      </c>
      <c r="W9" s="5" t="s">
        <v>35</v>
      </c>
      <c r="X9" s="5" t="s">
        <v>36</v>
      </c>
      <c r="Y9" s="5" t="s">
        <v>37</v>
      </c>
      <c r="Z9" s="5" t="s">
        <v>38</v>
      </c>
      <c r="AA9" s="5" t="s">
        <v>39</v>
      </c>
      <c r="AB9" s="5" t="s">
        <v>40</v>
      </c>
      <c r="AC9" s="5" t="s">
        <v>41</v>
      </c>
      <c r="AD9" s="5" t="s">
        <v>42</v>
      </c>
      <c r="AE9" s="5" t="s">
        <v>43</v>
      </c>
      <c r="AF9" s="5" t="s">
        <v>44</v>
      </c>
      <c r="AG9" s="5" t="s">
        <v>45</v>
      </c>
      <c r="AH9" s="5" t="s">
        <v>46</v>
      </c>
      <c r="AI9" s="5" t="s">
        <v>47</v>
      </c>
      <c r="AJ9" s="5" t="s">
        <v>48</v>
      </c>
      <c r="AK9" s="5" t="s">
        <v>49</v>
      </c>
      <c r="AL9" s="5" t="s">
        <v>50</v>
      </c>
      <c r="AM9" s="5" t="s">
        <v>51</v>
      </c>
      <c r="AN9" s="5" t="s">
        <v>52</v>
      </c>
      <c r="AO9" s="5" t="s">
        <v>53</v>
      </c>
      <c r="AP9" s="5" t="s">
        <v>54</v>
      </c>
      <c r="AQ9" s="5" t="s">
        <v>55</v>
      </c>
      <c r="AR9" s="5" t="s">
        <v>56</v>
      </c>
      <c r="AS9" s="5" t="s">
        <v>57</v>
      </c>
      <c r="AT9" s="5" t="s">
        <v>58</v>
      </c>
      <c r="AU9" s="5" t="s">
        <v>59</v>
      </c>
      <c r="AV9" s="5" t="s">
        <v>60</v>
      </c>
      <c r="AW9" s="5" t="s">
        <v>61</v>
      </c>
      <c r="AX9" s="5" t="s">
        <v>62</v>
      </c>
      <c r="AY9" s="5" t="s">
        <v>63</v>
      </c>
      <c r="AZ9" s="5" t="s">
        <v>64</v>
      </c>
      <c r="BA9" s="5" t="s">
        <v>65</v>
      </c>
      <c r="BB9" s="5" t="s">
        <v>66</v>
      </c>
      <c r="BC9" s="5" t="s">
        <v>67</v>
      </c>
      <c r="BD9" s="5" t="s">
        <v>68</v>
      </c>
      <c r="BE9" s="5" t="s">
        <v>69</v>
      </c>
      <c r="BF9" s="5" t="s">
        <v>70</v>
      </c>
      <c r="BG9" s="5" t="s">
        <v>71</v>
      </c>
      <c r="BH9" s="5" t="s">
        <v>72</v>
      </c>
      <c r="BI9" s="5" t="s">
        <v>73</v>
      </c>
      <c r="BJ9" s="5" t="s">
        <v>74</v>
      </c>
      <c r="BK9" s="5" t="s">
        <v>75</v>
      </c>
      <c r="BL9" s="5" t="s">
        <v>76</v>
      </c>
      <c r="BM9" s="5" t="s">
        <v>77</v>
      </c>
      <c r="BN9" s="5" t="s">
        <v>78</v>
      </c>
      <c r="BO9" s="37"/>
    </row>
    <row r="10" spans="1:67" ht="30" x14ac:dyDescent="0.25">
      <c r="A10" s="31"/>
      <c r="B10" s="6" t="s">
        <v>79</v>
      </c>
      <c r="C10" s="7" t="s">
        <v>80</v>
      </c>
      <c r="D10" s="8" t="s">
        <v>81</v>
      </c>
      <c r="E10" s="7" t="s">
        <v>82</v>
      </c>
      <c r="F10" s="7" t="s">
        <v>83</v>
      </c>
      <c r="G10" s="7" t="s">
        <v>84</v>
      </c>
      <c r="H10" s="7" t="s">
        <v>85</v>
      </c>
      <c r="I10" s="7" t="s">
        <v>86</v>
      </c>
      <c r="J10" s="7" t="s">
        <v>87</v>
      </c>
      <c r="K10" s="7" t="s">
        <v>88</v>
      </c>
      <c r="L10" s="7" t="s">
        <v>89</v>
      </c>
      <c r="M10" s="7" t="s">
        <v>90</v>
      </c>
      <c r="N10" s="7" t="s">
        <v>91</v>
      </c>
      <c r="O10" s="7" t="s">
        <v>92</v>
      </c>
      <c r="P10" s="7" t="s">
        <v>93</v>
      </c>
      <c r="Q10" s="7" t="s">
        <v>94</v>
      </c>
      <c r="R10" s="7" t="s">
        <v>95</v>
      </c>
      <c r="S10" s="7" t="s">
        <v>96</v>
      </c>
      <c r="T10" s="7" t="s">
        <v>97</v>
      </c>
      <c r="U10" s="8" t="s">
        <v>98</v>
      </c>
      <c r="V10" s="8" t="s">
        <v>99</v>
      </c>
      <c r="W10" s="7" t="s">
        <v>100</v>
      </c>
      <c r="X10" s="7" t="s">
        <v>101</v>
      </c>
      <c r="Y10" s="7" t="s">
        <v>102</v>
      </c>
      <c r="Z10" s="7" t="s">
        <v>103</v>
      </c>
      <c r="AA10" s="7" t="s">
        <v>104</v>
      </c>
      <c r="AB10" s="7" t="s">
        <v>105</v>
      </c>
      <c r="AC10" s="7" t="s">
        <v>106</v>
      </c>
      <c r="AD10" s="7" t="s">
        <v>107</v>
      </c>
      <c r="AE10" s="7" t="s">
        <v>108</v>
      </c>
      <c r="AF10" s="7" t="s">
        <v>109</v>
      </c>
      <c r="AG10" s="7" t="s">
        <v>110</v>
      </c>
      <c r="AH10" s="7" t="s">
        <v>111</v>
      </c>
      <c r="AI10" s="7" t="s">
        <v>112</v>
      </c>
      <c r="AJ10" s="7" t="s">
        <v>113</v>
      </c>
      <c r="AK10" s="8" t="s">
        <v>114</v>
      </c>
      <c r="AL10" s="8" t="s">
        <v>115</v>
      </c>
      <c r="AM10" s="8" t="s">
        <v>116</v>
      </c>
      <c r="AN10" s="8" t="s">
        <v>117</v>
      </c>
      <c r="AO10" s="8" t="s">
        <v>118</v>
      </c>
      <c r="AP10" s="8" t="s">
        <v>119</v>
      </c>
      <c r="AQ10" s="8" t="s">
        <v>120</v>
      </c>
      <c r="AR10" s="8" t="s">
        <v>121</v>
      </c>
      <c r="AS10" s="8" t="s">
        <v>122</v>
      </c>
      <c r="AT10" s="9" t="s">
        <v>123</v>
      </c>
      <c r="AU10" s="9" t="s">
        <v>124</v>
      </c>
      <c r="AV10" s="9" t="s">
        <v>125</v>
      </c>
      <c r="AW10" s="9" t="s">
        <v>126</v>
      </c>
      <c r="AX10" s="9" t="s">
        <v>127</v>
      </c>
      <c r="AY10" s="10" t="s">
        <v>128</v>
      </c>
      <c r="AZ10" s="11" t="s">
        <v>129</v>
      </c>
      <c r="BA10" s="11" t="s">
        <v>130</v>
      </c>
      <c r="BB10" s="11" t="s">
        <v>131</v>
      </c>
      <c r="BC10" s="11" t="s">
        <v>132</v>
      </c>
      <c r="BD10" s="11" t="s">
        <v>133</v>
      </c>
      <c r="BE10" s="12" t="s">
        <v>134</v>
      </c>
      <c r="BF10" s="9" t="s">
        <v>135</v>
      </c>
      <c r="BG10" s="9" t="s">
        <v>136</v>
      </c>
      <c r="BH10" s="9" t="s">
        <v>137</v>
      </c>
      <c r="BI10" s="9" t="s">
        <v>138</v>
      </c>
      <c r="BJ10" s="9" t="s">
        <v>139</v>
      </c>
      <c r="BK10" s="9" t="s">
        <v>140</v>
      </c>
      <c r="BL10" s="9" t="s">
        <v>141</v>
      </c>
      <c r="BM10" s="12"/>
      <c r="BN10" s="12"/>
      <c r="BO10" s="37"/>
    </row>
    <row r="11" spans="1:67" ht="15" x14ac:dyDescent="0.25">
      <c r="A11" s="32"/>
      <c r="B11" s="6" t="s">
        <v>142</v>
      </c>
      <c r="C11" s="13" t="s">
        <v>143</v>
      </c>
      <c r="D11" s="11" t="s">
        <v>144</v>
      </c>
      <c r="E11" s="14" t="s">
        <v>145</v>
      </c>
      <c r="F11" s="7" t="s">
        <v>146</v>
      </c>
      <c r="G11" s="7" t="s">
        <v>147</v>
      </c>
      <c r="H11" s="7" t="s">
        <v>148</v>
      </c>
      <c r="I11" s="7" t="s">
        <v>149</v>
      </c>
      <c r="J11" s="7" t="s">
        <v>150</v>
      </c>
      <c r="K11" s="7" t="s">
        <v>151</v>
      </c>
      <c r="L11" s="7" t="s">
        <v>152</v>
      </c>
      <c r="M11" s="7" t="s">
        <v>153</v>
      </c>
      <c r="N11" s="7" t="s">
        <v>154</v>
      </c>
      <c r="O11" s="7" t="s">
        <v>155</v>
      </c>
      <c r="P11" s="7" t="s">
        <v>156</v>
      </c>
      <c r="Q11" s="7" t="s">
        <v>157</v>
      </c>
      <c r="R11" s="7" t="s">
        <v>158</v>
      </c>
      <c r="S11" s="7" t="s">
        <v>159</v>
      </c>
      <c r="T11" s="7" t="s">
        <v>160</v>
      </c>
      <c r="U11" s="15" t="s">
        <v>161</v>
      </c>
      <c r="V11" s="15" t="s">
        <v>162</v>
      </c>
      <c r="W11" s="7" t="s">
        <v>163</v>
      </c>
      <c r="X11" s="7" t="s">
        <v>164</v>
      </c>
      <c r="Y11" s="7" t="s">
        <v>165</v>
      </c>
      <c r="Z11" s="7" t="s">
        <v>166</v>
      </c>
      <c r="AA11" s="7" t="s">
        <v>167</v>
      </c>
      <c r="AB11" s="7" t="s">
        <v>168</v>
      </c>
      <c r="AC11" s="7" t="s">
        <v>169</v>
      </c>
      <c r="AD11" s="7" t="s">
        <v>170</v>
      </c>
      <c r="AE11" s="7" t="s">
        <v>171</v>
      </c>
      <c r="AF11" s="7" t="s">
        <v>172</v>
      </c>
      <c r="AG11" s="7" t="s">
        <v>173</v>
      </c>
      <c r="AH11" s="7" t="s">
        <v>174</v>
      </c>
      <c r="AI11" s="7" t="s">
        <v>175</v>
      </c>
      <c r="AJ11" s="7" t="s">
        <v>176</v>
      </c>
      <c r="AK11" s="16" t="s">
        <v>177</v>
      </c>
      <c r="AL11" s="16" t="s">
        <v>178</v>
      </c>
      <c r="AM11" s="16" t="s">
        <v>179</v>
      </c>
      <c r="AN11" s="16" t="s">
        <v>180</v>
      </c>
      <c r="AO11" s="16" t="s">
        <v>181</v>
      </c>
      <c r="AP11" s="16" t="s">
        <v>182</v>
      </c>
      <c r="AQ11" s="17" t="s">
        <v>183</v>
      </c>
      <c r="AR11" s="17" t="s">
        <v>184</v>
      </c>
      <c r="AS11" s="17" t="s">
        <v>185</v>
      </c>
      <c r="AT11" s="17" t="s">
        <v>186</v>
      </c>
      <c r="AU11" s="17" t="s">
        <v>187</v>
      </c>
      <c r="AV11" s="17" t="s">
        <v>188</v>
      </c>
      <c r="AW11" s="17" t="s">
        <v>189</v>
      </c>
      <c r="AX11" s="17" t="s">
        <v>190</v>
      </c>
      <c r="AY11" s="16" t="s">
        <v>191</v>
      </c>
      <c r="AZ11" s="16" t="s">
        <v>192</v>
      </c>
      <c r="BA11" s="16" t="s">
        <v>193</v>
      </c>
      <c r="BB11" s="16" t="s">
        <v>194</v>
      </c>
      <c r="BC11" s="16" t="s">
        <v>195</v>
      </c>
      <c r="BD11" s="16" t="s">
        <v>196</v>
      </c>
      <c r="BE11" s="16" t="s">
        <v>197</v>
      </c>
      <c r="BF11" s="16" t="s">
        <v>198</v>
      </c>
      <c r="BG11" s="16" t="s">
        <v>199</v>
      </c>
      <c r="BH11" s="16" t="s">
        <v>200</v>
      </c>
      <c r="BI11" s="16" t="s">
        <v>201</v>
      </c>
      <c r="BJ11" s="16" t="s">
        <v>202</v>
      </c>
      <c r="BK11" s="16" t="s">
        <v>203</v>
      </c>
      <c r="BL11" s="16" t="s">
        <v>204</v>
      </c>
      <c r="BM11" s="16"/>
      <c r="BN11" s="18"/>
      <c r="BO11" s="38"/>
    </row>
    <row r="12" spans="1:67" ht="15.75" x14ac:dyDescent="0.2">
      <c r="A12" s="23">
        <f>DATE(N6,K6,1)</f>
        <v>46327</v>
      </c>
      <c r="B12" s="24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20"/>
      <c r="BJ12" s="20"/>
      <c r="BK12" s="20"/>
      <c r="BL12" s="20"/>
      <c r="BM12" s="20"/>
      <c r="BN12" s="20"/>
      <c r="BO12" s="19"/>
    </row>
    <row r="13" spans="1:67" ht="15.75" x14ac:dyDescent="0.2">
      <c r="A13" s="23">
        <f>A12+1</f>
        <v>46328</v>
      </c>
      <c r="B13" s="24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</row>
    <row r="14" spans="1:67" ht="15.75" x14ac:dyDescent="0.2">
      <c r="A14" s="23">
        <f t="shared" ref="A14:A39" si="0">A13+1</f>
        <v>46329</v>
      </c>
      <c r="B14" s="24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</row>
    <row r="15" spans="1:67" ht="15.75" x14ac:dyDescent="0.2">
      <c r="A15" s="23">
        <f t="shared" si="0"/>
        <v>46330</v>
      </c>
      <c r="B15" s="24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</row>
    <row r="16" spans="1:67" ht="15.75" x14ac:dyDescent="0.2">
      <c r="A16" s="23">
        <f t="shared" si="0"/>
        <v>46331</v>
      </c>
      <c r="B16" s="24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</row>
    <row r="17" spans="1:67" ht="15.75" x14ac:dyDescent="0.2">
      <c r="A17" s="23">
        <f t="shared" si="0"/>
        <v>46332</v>
      </c>
      <c r="B17" s="24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</row>
    <row r="18" spans="1:67" ht="15.75" x14ac:dyDescent="0.2">
      <c r="A18" s="23">
        <f t="shared" si="0"/>
        <v>46333</v>
      </c>
      <c r="B18" s="24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</row>
    <row r="19" spans="1:67" ht="15.75" x14ac:dyDescent="0.2">
      <c r="A19" s="23">
        <f t="shared" si="0"/>
        <v>46334</v>
      </c>
      <c r="B19" s="24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</row>
    <row r="20" spans="1:67" ht="15.75" x14ac:dyDescent="0.2">
      <c r="A20" s="23">
        <f t="shared" si="0"/>
        <v>46335</v>
      </c>
      <c r="B20" s="24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</row>
    <row r="21" spans="1:67" ht="15.75" x14ac:dyDescent="0.2">
      <c r="A21" s="23">
        <f t="shared" si="0"/>
        <v>46336</v>
      </c>
      <c r="B21" s="24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  <c r="BO21" s="19"/>
    </row>
    <row r="22" spans="1:67" ht="15.75" x14ac:dyDescent="0.2">
      <c r="A22" s="23">
        <f t="shared" si="0"/>
        <v>46337</v>
      </c>
      <c r="B22" s="24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</row>
    <row r="23" spans="1:67" ht="15.75" x14ac:dyDescent="0.2">
      <c r="A23" s="23">
        <f t="shared" si="0"/>
        <v>46338</v>
      </c>
      <c r="B23" s="24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</row>
    <row r="24" spans="1:67" ht="15.75" x14ac:dyDescent="0.2">
      <c r="A24" s="23">
        <f t="shared" si="0"/>
        <v>46339</v>
      </c>
      <c r="B24" s="24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</row>
    <row r="25" spans="1:67" ht="15.75" x14ac:dyDescent="0.2">
      <c r="A25" s="23">
        <f t="shared" si="0"/>
        <v>46340</v>
      </c>
      <c r="B25" s="24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/>
      <c r="BO25" s="19"/>
    </row>
    <row r="26" spans="1:67" ht="15.75" x14ac:dyDescent="0.2">
      <c r="A26" s="23">
        <f t="shared" si="0"/>
        <v>46341</v>
      </c>
      <c r="B26" s="24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</row>
    <row r="27" spans="1:67" ht="15.75" x14ac:dyDescent="0.2">
      <c r="A27" s="23">
        <f t="shared" si="0"/>
        <v>46342</v>
      </c>
      <c r="B27" s="24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</row>
    <row r="28" spans="1:67" ht="15.75" x14ac:dyDescent="0.2">
      <c r="A28" s="23">
        <f t="shared" si="0"/>
        <v>46343</v>
      </c>
      <c r="B28" s="24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</row>
    <row r="29" spans="1:67" ht="15.75" x14ac:dyDescent="0.2">
      <c r="A29" s="23">
        <f t="shared" si="0"/>
        <v>46344</v>
      </c>
      <c r="B29" s="24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</row>
    <row r="30" spans="1:67" ht="15.75" x14ac:dyDescent="0.2">
      <c r="A30" s="23">
        <f t="shared" si="0"/>
        <v>46345</v>
      </c>
      <c r="B30" s="24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</row>
    <row r="31" spans="1:67" ht="15.75" x14ac:dyDescent="0.2">
      <c r="A31" s="23">
        <f t="shared" si="0"/>
        <v>46346</v>
      </c>
      <c r="B31" s="24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</row>
    <row r="32" spans="1:67" ht="15.75" x14ac:dyDescent="0.2">
      <c r="A32" s="23">
        <f t="shared" si="0"/>
        <v>46347</v>
      </c>
      <c r="B32" s="24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</row>
    <row r="33" spans="1:67" ht="15.75" x14ac:dyDescent="0.2">
      <c r="A33" s="23">
        <f t="shared" si="0"/>
        <v>46348</v>
      </c>
      <c r="B33" s="24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19"/>
      <c r="BN33" s="19"/>
      <c r="BO33" s="19"/>
    </row>
    <row r="34" spans="1:67" ht="15.75" x14ac:dyDescent="0.2">
      <c r="A34" s="23">
        <f>A33+1</f>
        <v>46349</v>
      </c>
      <c r="B34" s="24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/>
      <c r="BG34" s="19"/>
      <c r="BH34" s="19"/>
      <c r="BI34" s="19"/>
      <c r="BJ34" s="19"/>
      <c r="BK34" s="19"/>
      <c r="BL34" s="19"/>
      <c r="BM34" s="19"/>
      <c r="BN34" s="19"/>
      <c r="BO34" s="19"/>
    </row>
    <row r="35" spans="1:67" ht="15.75" x14ac:dyDescent="0.2">
      <c r="A35" s="23">
        <f t="shared" si="0"/>
        <v>46350</v>
      </c>
      <c r="B35" s="24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/>
      <c r="BG35" s="19"/>
      <c r="BH35" s="19"/>
      <c r="BI35" s="19"/>
      <c r="BJ35" s="19"/>
      <c r="BK35" s="19"/>
      <c r="BL35" s="19"/>
      <c r="BM35" s="19"/>
      <c r="BN35" s="19"/>
      <c r="BO35" s="19"/>
    </row>
    <row r="36" spans="1:67" ht="15.75" x14ac:dyDescent="0.2">
      <c r="A36" s="23">
        <f t="shared" si="0"/>
        <v>46351</v>
      </c>
      <c r="B36" s="24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19"/>
      <c r="BJ36" s="19"/>
      <c r="BK36" s="19"/>
      <c r="BL36" s="19"/>
      <c r="BM36" s="19"/>
      <c r="BN36" s="19"/>
      <c r="BO36" s="19"/>
    </row>
    <row r="37" spans="1:67" ht="15.75" x14ac:dyDescent="0.2">
      <c r="A37" s="23">
        <f t="shared" si="0"/>
        <v>46352</v>
      </c>
      <c r="B37" s="24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19"/>
      <c r="BJ37" s="19"/>
      <c r="BK37" s="19"/>
      <c r="BL37" s="19"/>
      <c r="BM37" s="19"/>
      <c r="BN37" s="19"/>
      <c r="BO37" s="19"/>
    </row>
    <row r="38" spans="1:67" ht="15.75" x14ac:dyDescent="0.2">
      <c r="A38" s="23">
        <f t="shared" si="0"/>
        <v>46353</v>
      </c>
      <c r="B38" s="24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/>
      <c r="BG38" s="19"/>
      <c r="BH38" s="19"/>
      <c r="BI38" s="19"/>
      <c r="BJ38" s="19"/>
      <c r="BK38" s="19"/>
      <c r="BL38" s="19"/>
      <c r="BM38" s="19"/>
      <c r="BN38" s="19"/>
      <c r="BO38" s="19"/>
    </row>
    <row r="39" spans="1:67" ht="15.75" x14ac:dyDescent="0.2">
      <c r="A39" s="23">
        <f t="shared" si="0"/>
        <v>46354</v>
      </c>
      <c r="B39" s="24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/>
      <c r="BG39" s="19"/>
      <c r="BH39" s="19"/>
      <c r="BI39" s="19"/>
      <c r="BJ39" s="19"/>
      <c r="BK39" s="19"/>
      <c r="BL39" s="19"/>
      <c r="BM39" s="19"/>
      <c r="BN39" s="19"/>
      <c r="BO39" s="19"/>
    </row>
    <row r="40" spans="1:67" ht="15.75" x14ac:dyDescent="0.2">
      <c r="A40" s="23">
        <f>IF(A39="","",IF(A39=EOMONTH(DATE($N$6,$K$6,1),0),"",A39+1))</f>
        <v>46355</v>
      </c>
      <c r="B40" s="24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/>
      <c r="BG40" s="19"/>
      <c r="BH40" s="19"/>
      <c r="BI40" s="19"/>
      <c r="BJ40" s="19"/>
      <c r="BK40" s="19"/>
      <c r="BL40" s="19"/>
      <c r="BM40" s="19"/>
      <c r="BN40" s="19"/>
      <c r="BO40" s="19"/>
    </row>
    <row r="41" spans="1:67" ht="15.75" x14ac:dyDescent="0.2">
      <c r="A41" s="23">
        <f>IF(A40="","",IF(A40=EOMONTH(DATE($N$6,$K$6,1),0),"",A40+1))</f>
        <v>46356</v>
      </c>
      <c r="B41" s="24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/>
      <c r="BG41" s="19"/>
      <c r="BH41" s="19"/>
      <c r="BI41" s="19"/>
      <c r="BJ41" s="19"/>
      <c r="BK41" s="19"/>
      <c r="BL41" s="19"/>
      <c r="BM41" s="19"/>
      <c r="BN41" s="19"/>
      <c r="BO41" s="19"/>
    </row>
    <row r="42" spans="1:67" ht="15.75" x14ac:dyDescent="0.2">
      <c r="A42" s="23" t="str">
        <f>IF(A41="","",IF(A41=EOMONTH(DATE($N$6,$K$6,1),0),"",A41+1))</f>
        <v/>
      </c>
      <c r="B42" s="24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/>
      <c r="BG42" s="19"/>
      <c r="BH42" s="19"/>
      <c r="BI42" s="19"/>
      <c r="BJ42" s="19"/>
      <c r="BK42" s="19"/>
      <c r="BL42" s="19"/>
      <c r="BM42" s="19"/>
      <c r="BN42" s="19"/>
      <c r="BO42" s="19"/>
    </row>
    <row r="43" spans="1:67" ht="13.5" x14ac:dyDescent="0.25">
      <c r="A43" s="21" t="s">
        <v>205</v>
      </c>
      <c r="B43" s="25" t="s">
        <v>206</v>
      </c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</row>
    <row r="44" spans="1:67" x14ac:dyDescent="0.2">
      <c r="A44" s="22"/>
      <c r="B44" s="22" t="s">
        <v>207</v>
      </c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 t="s">
        <v>208</v>
      </c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</row>
  </sheetData>
  <mergeCells count="45">
    <mergeCell ref="A1:A3"/>
    <mergeCell ref="B1:M3"/>
    <mergeCell ref="N1:BO1"/>
    <mergeCell ref="N2:P2"/>
    <mergeCell ref="Q2:BN2"/>
    <mergeCell ref="N3:P3"/>
    <mergeCell ref="Q3:BN3"/>
    <mergeCell ref="A4:BO4"/>
    <mergeCell ref="A5:BO5"/>
    <mergeCell ref="N6:O6"/>
    <mergeCell ref="A8:A11"/>
    <mergeCell ref="B8:P8"/>
    <mergeCell ref="BO8:BO11"/>
    <mergeCell ref="A23:B23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35:B35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42:B42"/>
    <mergeCell ref="B43:N43"/>
    <mergeCell ref="A36:B36"/>
    <mergeCell ref="A37:B37"/>
    <mergeCell ref="A38:B38"/>
    <mergeCell ref="A39:B39"/>
    <mergeCell ref="A40:B40"/>
    <mergeCell ref="A41:B41"/>
  </mergeCells>
  <conditionalFormatting sqref="AR10">
    <cfRule type="duplicateValues" dxfId="3" priority="2"/>
  </conditionalFormatting>
  <conditionalFormatting sqref="AS10">
    <cfRule type="duplicateValues" dxfId="2" priority="1"/>
  </conditionalFormatting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51" r:id="rId3" name="Spinner 3">
              <controlPr defaultSize="0" autoPict="0">
                <anchor moveWithCells="1" sizeWithCells="1">
                  <from>
                    <xdr:col>11</xdr:col>
                    <xdr:colOff>19050</xdr:colOff>
                    <xdr:row>4</xdr:row>
                    <xdr:rowOff>123825</xdr:rowOff>
                  </from>
                  <to>
                    <xdr:col>11</xdr:col>
                    <xdr:colOff>342900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4" name="Spinner 4">
              <controlPr defaultSize="0" autoPict="0">
                <anchor moveWithCells="1" sizeWithCells="1">
                  <from>
                    <xdr:col>15</xdr:col>
                    <xdr:colOff>0</xdr:colOff>
                    <xdr:row>4</xdr:row>
                    <xdr:rowOff>123825</xdr:rowOff>
                  </from>
                  <to>
                    <xdr:col>15</xdr:col>
                    <xdr:colOff>323850</xdr:colOff>
                    <xdr:row>6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O44"/>
  <sheetViews>
    <sheetView zoomScale="70" zoomScaleNormal="70" workbookViewId="0">
      <selection activeCell="C47" sqref="C47"/>
    </sheetView>
  </sheetViews>
  <sheetFormatPr defaultRowHeight="12.75" x14ac:dyDescent="0.2"/>
  <cols>
    <col min="1" max="2" width="23.5" bestFit="1" customWidth="1"/>
    <col min="3" max="3" width="31.6640625" bestFit="1" customWidth="1"/>
    <col min="4" max="4" width="47" bestFit="1" customWidth="1"/>
    <col min="5" max="5" width="40.6640625" bestFit="1" customWidth="1"/>
    <col min="6" max="6" width="32.83203125" bestFit="1" customWidth="1"/>
    <col min="7" max="7" width="32" bestFit="1" customWidth="1"/>
    <col min="8" max="13" width="32.5" bestFit="1" customWidth="1"/>
    <col min="14" max="14" width="34.5" bestFit="1" customWidth="1"/>
    <col min="15" max="15" width="34.1640625" bestFit="1" customWidth="1"/>
    <col min="16" max="16" width="33.6640625" bestFit="1" customWidth="1"/>
    <col min="17" max="17" width="25.6640625" bestFit="1" customWidth="1"/>
    <col min="18" max="19" width="25" bestFit="1" customWidth="1"/>
    <col min="20" max="20" width="35.1640625" bestFit="1" customWidth="1"/>
    <col min="21" max="22" width="37.5" bestFit="1" customWidth="1"/>
    <col min="23" max="23" width="42.5" bestFit="1" customWidth="1"/>
    <col min="24" max="25" width="41.83203125" bestFit="1" customWidth="1"/>
    <col min="26" max="26" width="39.6640625" bestFit="1" customWidth="1"/>
    <col min="27" max="27" width="39" bestFit="1" customWidth="1"/>
    <col min="28" max="34" width="40.1640625" bestFit="1" customWidth="1"/>
    <col min="35" max="35" width="39.6640625" bestFit="1" customWidth="1"/>
    <col min="36" max="36" width="28.5" bestFit="1" customWidth="1"/>
    <col min="37" max="38" width="47.83203125" bestFit="1" customWidth="1"/>
    <col min="39" max="39" width="49" bestFit="1" customWidth="1"/>
    <col min="40" max="40" width="49.5" bestFit="1" customWidth="1"/>
    <col min="41" max="41" width="46.33203125" bestFit="1" customWidth="1"/>
    <col min="42" max="42" width="46.6640625" bestFit="1" customWidth="1"/>
    <col min="43" max="43" width="34" bestFit="1" customWidth="1"/>
    <col min="44" max="45" width="26.6640625" bestFit="1" customWidth="1"/>
    <col min="46" max="47" width="30.33203125" bestFit="1" customWidth="1"/>
    <col min="48" max="48" width="35.83203125" bestFit="1" customWidth="1"/>
    <col min="49" max="49" width="37" bestFit="1" customWidth="1"/>
    <col min="50" max="50" width="33.33203125" bestFit="1" customWidth="1"/>
    <col min="51" max="51" width="34.1640625" bestFit="1" customWidth="1"/>
    <col min="52" max="52" width="33.5" bestFit="1" customWidth="1"/>
    <col min="53" max="54" width="36.6640625" bestFit="1" customWidth="1"/>
    <col min="55" max="56" width="43.33203125" bestFit="1" customWidth="1"/>
    <col min="57" max="57" width="41.6640625" bestFit="1" customWidth="1"/>
    <col min="58" max="58" width="44.1640625" bestFit="1" customWidth="1"/>
    <col min="59" max="59" width="32" bestFit="1" customWidth="1"/>
    <col min="60" max="60" width="39.1640625" bestFit="1" customWidth="1"/>
    <col min="61" max="61" width="35.6640625" bestFit="1" customWidth="1"/>
    <col min="62" max="62" width="30.6640625" bestFit="1" customWidth="1"/>
    <col min="63" max="63" width="44" bestFit="1" customWidth="1"/>
    <col min="64" max="64" width="39" bestFit="1" customWidth="1"/>
    <col min="65" max="66" width="6.83203125" bestFit="1" customWidth="1"/>
    <col min="67" max="67" width="14.6640625" bestFit="1" customWidth="1"/>
  </cols>
  <sheetData>
    <row r="1" spans="1:67" x14ac:dyDescent="0.2">
      <c r="A1" s="39" t="s">
        <v>0</v>
      </c>
      <c r="B1" s="40" t="s">
        <v>1</v>
      </c>
      <c r="C1" s="41"/>
      <c r="D1" s="41"/>
      <c r="E1" s="41"/>
      <c r="F1" s="41"/>
      <c r="G1" s="41"/>
      <c r="H1" s="41"/>
      <c r="I1" s="41"/>
      <c r="J1" s="41"/>
      <c r="K1" s="41"/>
      <c r="L1" s="41"/>
      <c r="M1" s="42"/>
      <c r="N1" s="49" t="s">
        <v>2</v>
      </c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  <c r="AJ1" s="50"/>
      <c r="AK1" s="50"/>
      <c r="AL1" s="50"/>
      <c r="AM1" s="50"/>
      <c r="AN1" s="50"/>
      <c r="AO1" s="50"/>
      <c r="AP1" s="50"/>
      <c r="AQ1" s="50"/>
      <c r="AR1" s="50"/>
      <c r="AS1" s="50"/>
      <c r="AT1" s="50"/>
      <c r="AU1" s="50"/>
      <c r="AV1" s="50"/>
      <c r="AW1" s="50"/>
      <c r="AX1" s="50"/>
      <c r="AY1" s="50"/>
      <c r="AZ1" s="50"/>
      <c r="BA1" s="50"/>
      <c r="BB1" s="50"/>
      <c r="BC1" s="50"/>
      <c r="BD1" s="50"/>
      <c r="BE1" s="50"/>
      <c r="BF1" s="50"/>
      <c r="BG1" s="50"/>
      <c r="BH1" s="50"/>
      <c r="BI1" s="50"/>
      <c r="BJ1" s="50"/>
      <c r="BK1" s="50"/>
      <c r="BL1" s="50"/>
      <c r="BM1" s="50"/>
      <c r="BN1" s="50"/>
      <c r="BO1" s="51"/>
    </row>
    <row r="2" spans="1:67" x14ac:dyDescent="0.2">
      <c r="A2" s="39"/>
      <c r="B2" s="43"/>
      <c r="C2" s="44"/>
      <c r="D2" s="44"/>
      <c r="E2" s="44"/>
      <c r="F2" s="44"/>
      <c r="G2" s="44"/>
      <c r="H2" s="44"/>
      <c r="I2" s="44"/>
      <c r="J2" s="44"/>
      <c r="K2" s="44"/>
      <c r="L2" s="44"/>
      <c r="M2" s="45"/>
      <c r="N2" s="49" t="s">
        <v>3</v>
      </c>
      <c r="O2" s="50"/>
      <c r="P2" s="51"/>
      <c r="Q2" s="49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50"/>
      <c r="AO2" s="50"/>
      <c r="AP2" s="50"/>
      <c r="AQ2" s="50"/>
      <c r="AR2" s="50"/>
      <c r="AS2" s="50"/>
      <c r="AT2" s="50"/>
      <c r="AU2" s="50"/>
      <c r="AV2" s="50"/>
      <c r="AW2" s="50"/>
      <c r="AX2" s="50"/>
      <c r="AY2" s="50"/>
      <c r="AZ2" s="50"/>
      <c r="BA2" s="50"/>
      <c r="BB2" s="50"/>
      <c r="BC2" s="50"/>
      <c r="BD2" s="50"/>
      <c r="BE2" s="50"/>
      <c r="BF2" s="50"/>
      <c r="BG2" s="50"/>
      <c r="BH2" s="50"/>
      <c r="BI2" s="50"/>
      <c r="BJ2" s="50"/>
      <c r="BK2" s="50"/>
      <c r="BL2" s="50"/>
      <c r="BM2" s="50"/>
      <c r="BN2" s="51"/>
      <c r="BO2" s="1" t="s">
        <v>4</v>
      </c>
    </row>
    <row r="3" spans="1:67" x14ac:dyDescent="0.2">
      <c r="A3" s="39"/>
      <c r="B3" s="46"/>
      <c r="C3" s="47"/>
      <c r="D3" s="47"/>
      <c r="E3" s="47"/>
      <c r="F3" s="47"/>
      <c r="G3" s="47"/>
      <c r="H3" s="47"/>
      <c r="I3" s="47"/>
      <c r="J3" s="47"/>
      <c r="K3" s="47"/>
      <c r="L3" s="47"/>
      <c r="M3" s="48"/>
      <c r="N3" s="49" t="s">
        <v>5</v>
      </c>
      <c r="O3" s="50"/>
      <c r="P3" s="51"/>
      <c r="Q3" s="49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/>
      <c r="AS3" s="50"/>
      <c r="AT3" s="50"/>
      <c r="AU3" s="50"/>
      <c r="AV3" s="50"/>
      <c r="AW3" s="50"/>
      <c r="AX3" s="50"/>
      <c r="AY3" s="50"/>
      <c r="AZ3" s="50"/>
      <c r="BA3" s="50"/>
      <c r="BB3" s="50"/>
      <c r="BC3" s="50"/>
      <c r="BD3" s="50"/>
      <c r="BE3" s="50"/>
      <c r="BF3" s="50"/>
      <c r="BG3" s="50"/>
      <c r="BH3" s="50"/>
      <c r="BI3" s="50"/>
      <c r="BJ3" s="50"/>
      <c r="BK3" s="50"/>
      <c r="BL3" s="50"/>
      <c r="BM3" s="50"/>
      <c r="BN3" s="51"/>
      <c r="BO3" s="1" t="s">
        <v>6</v>
      </c>
    </row>
    <row r="4" spans="1:67" x14ac:dyDescent="0.2">
      <c r="A4" s="26" t="s">
        <v>7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8"/>
    </row>
    <row r="5" spans="1:67" ht="18.75" x14ac:dyDescent="0.2">
      <c r="A5" s="29"/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</row>
    <row r="6" spans="1:67" ht="15.75" x14ac:dyDescent="0.25">
      <c r="A6" s="2" t="s">
        <v>8</v>
      </c>
      <c r="B6" s="3"/>
      <c r="C6" s="3"/>
      <c r="D6" s="3"/>
      <c r="E6" s="3"/>
      <c r="F6" s="3"/>
      <c r="G6" s="3"/>
      <c r="H6" s="3"/>
      <c r="I6" s="3"/>
      <c r="J6" s="3" t="s">
        <v>9</v>
      </c>
      <c r="K6" s="3">
        <v>12</v>
      </c>
      <c r="L6" s="3"/>
      <c r="M6" s="3" t="s">
        <v>10</v>
      </c>
      <c r="N6" s="30">
        <v>2026</v>
      </c>
      <c r="O6" s="30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</row>
    <row r="7" spans="1:67" ht="15.7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</row>
    <row r="8" spans="1:67" ht="15.75" x14ac:dyDescent="0.25">
      <c r="A8" s="31" t="s">
        <v>11</v>
      </c>
      <c r="B8" s="33" t="s">
        <v>12</v>
      </c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5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36" t="s">
        <v>13</v>
      </c>
    </row>
    <row r="9" spans="1:67" x14ac:dyDescent="0.2">
      <c r="A9" s="31"/>
      <c r="B9" s="5" t="s">
        <v>14</v>
      </c>
      <c r="C9" s="5" t="s">
        <v>15</v>
      </c>
      <c r="D9" s="5" t="s">
        <v>16</v>
      </c>
      <c r="E9" s="5" t="s">
        <v>17</v>
      </c>
      <c r="F9" s="5" t="s">
        <v>18</v>
      </c>
      <c r="G9" s="5" t="s">
        <v>19</v>
      </c>
      <c r="H9" s="5" t="s">
        <v>20</v>
      </c>
      <c r="I9" s="5" t="s">
        <v>21</v>
      </c>
      <c r="J9" s="5" t="s">
        <v>22</v>
      </c>
      <c r="K9" s="5" t="s">
        <v>23</v>
      </c>
      <c r="L9" s="5" t="s">
        <v>24</v>
      </c>
      <c r="M9" s="5" t="s">
        <v>25</v>
      </c>
      <c r="N9" s="5" t="s">
        <v>26</v>
      </c>
      <c r="O9" s="5" t="s">
        <v>27</v>
      </c>
      <c r="P9" s="5" t="s">
        <v>28</v>
      </c>
      <c r="Q9" s="5" t="s">
        <v>29</v>
      </c>
      <c r="R9" s="5" t="s">
        <v>30</v>
      </c>
      <c r="S9" s="5" t="s">
        <v>31</v>
      </c>
      <c r="T9" s="5" t="s">
        <v>32</v>
      </c>
      <c r="U9" s="5" t="s">
        <v>33</v>
      </c>
      <c r="V9" s="5" t="s">
        <v>34</v>
      </c>
      <c r="W9" s="5" t="s">
        <v>35</v>
      </c>
      <c r="X9" s="5" t="s">
        <v>36</v>
      </c>
      <c r="Y9" s="5" t="s">
        <v>37</v>
      </c>
      <c r="Z9" s="5" t="s">
        <v>38</v>
      </c>
      <c r="AA9" s="5" t="s">
        <v>39</v>
      </c>
      <c r="AB9" s="5" t="s">
        <v>40</v>
      </c>
      <c r="AC9" s="5" t="s">
        <v>41</v>
      </c>
      <c r="AD9" s="5" t="s">
        <v>42</v>
      </c>
      <c r="AE9" s="5" t="s">
        <v>43</v>
      </c>
      <c r="AF9" s="5" t="s">
        <v>44</v>
      </c>
      <c r="AG9" s="5" t="s">
        <v>45</v>
      </c>
      <c r="AH9" s="5" t="s">
        <v>46</v>
      </c>
      <c r="AI9" s="5" t="s">
        <v>47</v>
      </c>
      <c r="AJ9" s="5" t="s">
        <v>48</v>
      </c>
      <c r="AK9" s="5" t="s">
        <v>49</v>
      </c>
      <c r="AL9" s="5" t="s">
        <v>50</v>
      </c>
      <c r="AM9" s="5" t="s">
        <v>51</v>
      </c>
      <c r="AN9" s="5" t="s">
        <v>52</v>
      </c>
      <c r="AO9" s="5" t="s">
        <v>53</v>
      </c>
      <c r="AP9" s="5" t="s">
        <v>54</v>
      </c>
      <c r="AQ9" s="5" t="s">
        <v>55</v>
      </c>
      <c r="AR9" s="5" t="s">
        <v>56</v>
      </c>
      <c r="AS9" s="5" t="s">
        <v>57</v>
      </c>
      <c r="AT9" s="5" t="s">
        <v>58</v>
      </c>
      <c r="AU9" s="5" t="s">
        <v>59</v>
      </c>
      <c r="AV9" s="5" t="s">
        <v>60</v>
      </c>
      <c r="AW9" s="5" t="s">
        <v>61</v>
      </c>
      <c r="AX9" s="5" t="s">
        <v>62</v>
      </c>
      <c r="AY9" s="5" t="s">
        <v>63</v>
      </c>
      <c r="AZ9" s="5" t="s">
        <v>64</v>
      </c>
      <c r="BA9" s="5" t="s">
        <v>65</v>
      </c>
      <c r="BB9" s="5" t="s">
        <v>66</v>
      </c>
      <c r="BC9" s="5" t="s">
        <v>67</v>
      </c>
      <c r="BD9" s="5" t="s">
        <v>68</v>
      </c>
      <c r="BE9" s="5" t="s">
        <v>69</v>
      </c>
      <c r="BF9" s="5" t="s">
        <v>70</v>
      </c>
      <c r="BG9" s="5" t="s">
        <v>71</v>
      </c>
      <c r="BH9" s="5" t="s">
        <v>72</v>
      </c>
      <c r="BI9" s="5" t="s">
        <v>73</v>
      </c>
      <c r="BJ9" s="5" t="s">
        <v>74</v>
      </c>
      <c r="BK9" s="5" t="s">
        <v>75</v>
      </c>
      <c r="BL9" s="5" t="s">
        <v>76</v>
      </c>
      <c r="BM9" s="5" t="s">
        <v>77</v>
      </c>
      <c r="BN9" s="5" t="s">
        <v>78</v>
      </c>
      <c r="BO9" s="37"/>
    </row>
    <row r="10" spans="1:67" ht="30" x14ac:dyDescent="0.25">
      <c r="A10" s="31"/>
      <c r="B10" s="6" t="s">
        <v>79</v>
      </c>
      <c r="C10" s="7" t="s">
        <v>80</v>
      </c>
      <c r="D10" s="8" t="s">
        <v>81</v>
      </c>
      <c r="E10" s="7" t="s">
        <v>82</v>
      </c>
      <c r="F10" s="7" t="s">
        <v>83</v>
      </c>
      <c r="G10" s="7" t="s">
        <v>84</v>
      </c>
      <c r="H10" s="7" t="s">
        <v>85</v>
      </c>
      <c r="I10" s="7" t="s">
        <v>86</v>
      </c>
      <c r="J10" s="7" t="s">
        <v>87</v>
      </c>
      <c r="K10" s="7" t="s">
        <v>88</v>
      </c>
      <c r="L10" s="7" t="s">
        <v>89</v>
      </c>
      <c r="M10" s="7" t="s">
        <v>90</v>
      </c>
      <c r="N10" s="7" t="s">
        <v>91</v>
      </c>
      <c r="O10" s="7" t="s">
        <v>92</v>
      </c>
      <c r="P10" s="7" t="s">
        <v>93</v>
      </c>
      <c r="Q10" s="7" t="s">
        <v>94</v>
      </c>
      <c r="R10" s="7" t="s">
        <v>95</v>
      </c>
      <c r="S10" s="7" t="s">
        <v>96</v>
      </c>
      <c r="T10" s="7" t="s">
        <v>97</v>
      </c>
      <c r="U10" s="8" t="s">
        <v>98</v>
      </c>
      <c r="V10" s="8" t="s">
        <v>99</v>
      </c>
      <c r="W10" s="7" t="s">
        <v>100</v>
      </c>
      <c r="X10" s="7" t="s">
        <v>101</v>
      </c>
      <c r="Y10" s="7" t="s">
        <v>102</v>
      </c>
      <c r="Z10" s="7" t="s">
        <v>103</v>
      </c>
      <c r="AA10" s="7" t="s">
        <v>104</v>
      </c>
      <c r="AB10" s="7" t="s">
        <v>105</v>
      </c>
      <c r="AC10" s="7" t="s">
        <v>106</v>
      </c>
      <c r="AD10" s="7" t="s">
        <v>107</v>
      </c>
      <c r="AE10" s="7" t="s">
        <v>108</v>
      </c>
      <c r="AF10" s="7" t="s">
        <v>109</v>
      </c>
      <c r="AG10" s="7" t="s">
        <v>110</v>
      </c>
      <c r="AH10" s="7" t="s">
        <v>111</v>
      </c>
      <c r="AI10" s="7" t="s">
        <v>112</v>
      </c>
      <c r="AJ10" s="7" t="s">
        <v>113</v>
      </c>
      <c r="AK10" s="8" t="s">
        <v>114</v>
      </c>
      <c r="AL10" s="8" t="s">
        <v>115</v>
      </c>
      <c r="AM10" s="8" t="s">
        <v>116</v>
      </c>
      <c r="AN10" s="8" t="s">
        <v>117</v>
      </c>
      <c r="AO10" s="8" t="s">
        <v>118</v>
      </c>
      <c r="AP10" s="8" t="s">
        <v>119</v>
      </c>
      <c r="AQ10" s="8" t="s">
        <v>120</v>
      </c>
      <c r="AR10" s="8" t="s">
        <v>121</v>
      </c>
      <c r="AS10" s="8" t="s">
        <v>122</v>
      </c>
      <c r="AT10" s="9" t="s">
        <v>123</v>
      </c>
      <c r="AU10" s="9" t="s">
        <v>124</v>
      </c>
      <c r="AV10" s="9" t="s">
        <v>125</v>
      </c>
      <c r="AW10" s="9" t="s">
        <v>126</v>
      </c>
      <c r="AX10" s="9" t="s">
        <v>127</v>
      </c>
      <c r="AY10" s="10" t="s">
        <v>128</v>
      </c>
      <c r="AZ10" s="11" t="s">
        <v>129</v>
      </c>
      <c r="BA10" s="11" t="s">
        <v>130</v>
      </c>
      <c r="BB10" s="11" t="s">
        <v>131</v>
      </c>
      <c r="BC10" s="11" t="s">
        <v>132</v>
      </c>
      <c r="BD10" s="11" t="s">
        <v>133</v>
      </c>
      <c r="BE10" s="12" t="s">
        <v>134</v>
      </c>
      <c r="BF10" s="9" t="s">
        <v>135</v>
      </c>
      <c r="BG10" s="9" t="s">
        <v>136</v>
      </c>
      <c r="BH10" s="9" t="s">
        <v>137</v>
      </c>
      <c r="BI10" s="9" t="s">
        <v>138</v>
      </c>
      <c r="BJ10" s="9" t="s">
        <v>139</v>
      </c>
      <c r="BK10" s="9" t="s">
        <v>140</v>
      </c>
      <c r="BL10" s="9" t="s">
        <v>141</v>
      </c>
      <c r="BM10" s="12"/>
      <c r="BN10" s="12"/>
      <c r="BO10" s="37"/>
    </row>
    <row r="11" spans="1:67" ht="15" x14ac:dyDescent="0.25">
      <c r="A11" s="32"/>
      <c r="B11" s="6" t="s">
        <v>142</v>
      </c>
      <c r="C11" s="13" t="s">
        <v>143</v>
      </c>
      <c r="D11" s="11" t="s">
        <v>144</v>
      </c>
      <c r="E11" s="14" t="s">
        <v>145</v>
      </c>
      <c r="F11" s="7" t="s">
        <v>146</v>
      </c>
      <c r="G11" s="7" t="s">
        <v>147</v>
      </c>
      <c r="H11" s="7" t="s">
        <v>148</v>
      </c>
      <c r="I11" s="7" t="s">
        <v>149</v>
      </c>
      <c r="J11" s="7" t="s">
        <v>150</v>
      </c>
      <c r="K11" s="7" t="s">
        <v>151</v>
      </c>
      <c r="L11" s="7" t="s">
        <v>152</v>
      </c>
      <c r="M11" s="7" t="s">
        <v>153</v>
      </c>
      <c r="N11" s="7" t="s">
        <v>154</v>
      </c>
      <c r="O11" s="7" t="s">
        <v>155</v>
      </c>
      <c r="P11" s="7" t="s">
        <v>156</v>
      </c>
      <c r="Q11" s="7" t="s">
        <v>157</v>
      </c>
      <c r="R11" s="7" t="s">
        <v>158</v>
      </c>
      <c r="S11" s="7" t="s">
        <v>159</v>
      </c>
      <c r="T11" s="7" t="s">
        <v>160</v>
      </c>
      <c r="U11" s="15" t="s">
        <v>161</v>
      </c>
      <c r="V11" s="15" t="s">
        <v>162</v>
      </c>
      <c r="W11" s="7" t="s">
        <v>163</v>
      </c>
      <c r="X11" s="7" t="s">
        <v>164</v>
      </c>
      <c r="Y11" s="7" t="s">
        <v>165</v>
      </c>
      <c r="Z11" s="7" t="s">
        <v>166</v>
      </c>
      <c r="AA11" s="7" t="s">
        <v>167</v>
      </c>
      <c r="AB11" s="7" t="s">
        <v>168</v>
      </c>
      <c r="AC11" s="7" t="s">
        <v>169</v>
      </c>
      <c r="AD11" s="7" t="s">
        <v>170</v>
      </c>
      <c r="AE11" s="7" t="s">
        <v>171</v>
      </c>
      <c r="AF11" s="7" t="s">
        <v>172</v>
      </c>
      <c r="AG11" s="7" t="s">
        <v>173</v>
      </c>
      <c r="AH11" s="7" t="s">
        <v>174</v>
      </c>
      <c r="AI11" s="7" t="s">
        <v>175</v>
      </c>
      <c r="AJ11" s="7" t="s">
        <v>176</v>
      </c>
      <c r="AK11" s="16" t="s">
        <v>177</v>
      </c>
      <c r="AL11" s="16" t="s">
        <v>178</v>
      </c>
      <c r="AM11" s="16" t="s">
        <v>179</v>
      </c>
      <c r="AN11" s="16" t="s">
        <v>180</v>
      </c>
      <c r="AO11" s="16" t="s">
        <v>181</v>
      </c>
      <c r="AP11" s="16" t="s">
        <v>182</v>
      </c>
      <c r="AQ11" s="17" t="s">
        <v>183</v>
      </c>
      <c r="AR11" s="17" t="s">
        <v>184</v>
      </c>
      <c r="AS11" s="17" t="s">
        <v>185</v>
      </c>
      <c r="AT11" s="17" t="s">
        <v>186</v>
      </c>
      <c r="AU11" s="17" t="s">
        <v>187</v>
      </c>
      <c r="AV11" s="17" t="s">
        <v>188</v>
      </c>
      <c r="AW11" s="17" t="s">
        <v>189</v>
      </c>
      <c r="AX11" s="17" t="s">
        <v>190</v>
      </c>
      <c r="AY11" s="16" t="s">
        <v>191</v>
      </c>
      <c r="AZ11" s="16" t="s">
        <v>192</v>
      </c>
      <c r="BA11" s="16" t="s">
        <v>193</v>
      </c>
      <c r="BB11" s="16" t="s">
        <v>194</v>
      </c>
      <c r="BC11" s="16" t="s">
        <v>195</v>
      </c>
      <c r="BD11" s="16" t="s">
        <v>196</v>
      </c>
      <c r="BE11" s="16" t="s">
        <v>197</v>
      </c>
      <c r="BF11" s="16" t="s">
        <v>198</v>
      </c>
      <c r="BG11" s="16" t="s">
        <v>199</v>
      </c>
      <c r="BH11" s="16" t="s">
        <v>200</v>
      </c>
      <c r="BI11" s="16" t="s">
        <v>201</v>
      </c>
      <c r="BJ11" s="16" t="s">
        <v>202</v>
      </c>
      <c r="BK11" s="16" t="s">
        <v>203</v>
      </c>
      <c r="BL11" s="16" t="s">
        <v>204</v>
      </c>
      <c r="BM11" s="16"/>
      <c r="BN11" s="18"/>
      <c r="BO11" s="38"/>
    </row>
    <row r="12" spans="1:67" ht="15.75" x14ac:dyDescent="0.2">
      <c r="A12" s="23">
        <f>DATE(N6,K6,1)</f>
        <v>46357</v>
      </c>
      <c r="B12" s="24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20"/>
      <c r="BJ12" s="20"/>
      <c r="BK12" s="20"/>
      <c r="BL12" s="20"/>
      <c r="BM12" s="20"/>
      <c r="BN12" s="20"/>
      <c r="BO12" s="19"/>
    </row>
    <row r="13" spans="1:67" ht="15.75" x14ac:dyDescent="0.2">
      <c r="A13" s="23">
        <f>A12+1</f>
        <v>46358</v>
      </c>
      <c r="B13" s="24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</row>
    <row r="14" spans="1:67" ht="15.75" x14ac:dyDescent="0.2">
      <c r="A14" s="23">
        <f t="shared" ref="A14:A39" si="0">A13+1</f>
        <v>46359</v>
      </c>
      <c r="B14" s="24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</row>
    <row r="15" spans="1:67" ht="15.75" x14ac:dyDescent="0.2">
      <c r="A15" s="23">
        <f t="shared" si="0"/>
        <v>46360</v>
      </c>
      <c r="B15" s="24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</row>
    <row r="16" spans="1:67" ht="15.75" x14ac:dyDescent="0.2">
      <c r="A16" s="23">
        <f t="shared" si="0"/>
        <v>46361</v>
      </c>
      <c r="B16" s="24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</row>
    <row r="17" spans="1:67" ht="15.75" x14ac:dyDescent="0.2">
      <c r="A17" s="23">
        <f t="shared" si="0"/>
        <v>46362</v>
      </c>
      <c r="B17" s="24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</row>
    <row r="18" spans="1:67" ht="15.75" x14ac:dyDescent="0.2">
      <c r="A18" s="23">
        <f t="shared" si="0"/>
        <v>46363</v>
      </c>
      <c r="B18" s="24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</row>
    <row r="19" spans="1:67" ht="15.75" x14ac:dyDescent="0.2">
      <c r="A19" s="23">
        <f t="shared" si="0"/>
        <v>46364</v>
      </c>
      <c r="B19" s="24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</row>
    <row r="20" spans="1:67" ht="15.75" x14ac:dyDescent="0.2">
      <c r="A20" s="23">
        <f t="shared" si="0"/>
        <v>46365</v>
      </c>
      <c r="B20" s="24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</row>
    <row r="21" spans="1:67" ht="15.75" x14ac:dyDescent="0.2">
      <c r="A21" s="23">
        <f t="shared" si="0"/>
        <v>46366</v>
      </c>
      <c r="B21" s="24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  <c r="BO21" s="19"/>
    </row>
    <row r="22" spans="1:67" ht="15.75" x14ac:dyDescent="0.2">
      <c r="A22" s="23">
        <f t="shared" si="0"/>
        <v>46367</v>
      </c>
      <c r="B22" s="24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</row>
    <row r="23" spans="1:67" ht="15.75" x14ac:dyDescent="0.2">
      <c r="A23" s="23">
        <f t="shared" si="0"/>
        <v>46368</v>
      </c>
      <c r="B23" s="24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</row>
    <row r="24" spans="1:67" ht="15.75" x14ac:dyDescent="0.2">
      <c r="A24" s="23">
        <f t="shared" si="0"/>
        <v>46369</v>
      </c>
      <c r="B24" s="24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</row>
    <row r="25" spans="1:67" ht="15.75" x14ac:dyDescent="0.2">
      <c r="A25" s="23">
        <f t="shared" si="0"/>
        <v>46370</v>
      </c>
      <c r="B25" s="24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/>
      <c r="BO25" s="19"/>
    </row>
    <row r="26" spans="1:67" ht="15.75" x14ac:dyDescent="0.2">
      <c r="A26" s="23">
        <f t="shared" si="0"/>
        <v>46371</v>
      </c>
      <c r="B26" s="24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</row>
    <row r="27" spans="1:67" ht="15.75" x14ac:dyDescent="0.2">
      <c r="A27" s="23">
        <f t="shared" si="0"/>
        <v>46372</v>
      </c>
      <c r="B27" s="24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</row>
    <row r="28" spans="1:67" ht="15.75" x14ac:dyDescent="0.2">
      <c r="A28" s="23">
        <f t="shared" si="0"/>
        <v>46373</v>
      </c>
      <c r="B28" s="24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</row>
    <row r="29" spans="1:67" ht="15.75" x14ac:dyDescent="0.2">
      <c r="A29" s="23">
        <f t="shared" si="0"/>
        <v>46374</v>
      </c>
      <c r="B29" s="24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</row>
    <row r="30" spans="1:67" ht="15.75" x14ac:dyDescent="0.2">
      <c r="A30" s="23">
        <f t="shared" si="0"/>
        <v>46375</v>
      </c>
      <c r="B30" s="24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</row>
    <row r="31" spans="1:67" ht="15.75" x14ac:dyDescent="0.2">
      <c r="A31" s="23">
        <f t="shared" si="0"/>
        <v>46376</v>
      </c>
      <c r="B31" s="24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</row>
    <row r="32" spans="1:67" ht="15.75" x14ac:dyDescent="0.2">
      <c r="A32" s="23">
        <f t="shared" si="0"/>
        <v>46377</v>
      </c>
      <c r="B32" s="24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</row>
    <row r="33" spans="1:67" ht="15.75" x14ac:dyDescent="0.2">
      <c r="A33" s="23">
        <f t="shared" si="0"/>
        <v>46378</v>
      </c>
      <c r="B33" s="24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19"/>
      <c r="BN33" s="19"/>
      <c r="BO33" s="19"/>
    </row>
    <row r="34" spans="1:67" ht="15.75" x14ac:dyDescent="0.2">
      <c r="A34" s="23">
        <f>A33+1</f>
        <v>46379</v>
      </c>
      <c r="B34" s="24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/>
      <c r="BG34" s="19"/>
      <c r="BH34" s="19"/>
      <c r="BI34" s="19"/>
      <c r="BJ34" s="19"/>
      <c r="BK34" s="19"/>
      <c r="BL34" s="19"/>
      <c r="BM34" s="19"/>
      <c r="BN34" s="19"/>
      <c r="BO34" s="19"/>
    </row>
    <row r="35" spans="1:67" ht="15.75" x14ac:dyDescent="0.2">
      <c r="A35" s="23">
        <f t="shared" si="0"/>
        <v>46380</v>
      </c>
      <c r="B35" s="24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/>
      <c r="BG35" s="19"/>
      <c r="BH35" s="19"/>
      <c r="BI35" s="19"/>
      <c r="BJ35" s="19"/>
      <c r="BK35" s="19"/>
      <c r="BL35" s="19"/>
      <c r="BM35" s="19"/>
      <c r="BN35" s="19"/>
      <c r="BO35" s="19"/>
    </row>
    <row r="36" spans="1:67" ht="15.75" x14ac:dyDescent="0.2">
      <c r="A36" s="23">
        <f t="shared" si="0"/>
        <v>46381</v>
      </c>
      <c r="B36" s="24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19"/>
      <c r="BJ36" s="19"/>
      <c r="BK36" s="19"/>
      <c r="BL36" s="19"/>
      <c r="BM36" s="19"/>
      <c r="BN36" s="19"/>
      <c r="BO36" s="19"/>
    </row>
    <row r="37" spans="1:67" ht="15.75" x14ac:dyDescent="0.2">
      <c r="A37" s="23">
        <f t="shared" si="0"/>
        <v>46382</v>
      </c>
      <c r="B37" s="24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19"/>
      <c r="BJ37" s="19"/>
      <c r="BK37" s="19"/>
      <c r="BL37" s="19"/>
      <c r="BM37" s="19"/>
      <c r="BN37" s="19"/>
      <c r="BO37" s="19"/>
    </row>
    <row r="38" spans="1:67" ht="15.75" x14ac:dyDescent="0.2">
      <c r="A38" s="23">
        <f t="shared" si="0"/>
        <v>46383</v>
      </c>
      <c r="B38" s="24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/>
      <c r="BG38" s="19"/>
      <c r="BH38" s="19"/>
      <c r="BI38" s="19"/>
      <c r="BJ38" s="19"/>
      <c r="BK38" s="19"/>
      <c r="BL38" s="19"/>
      <c r="BM38" s="19"/>
      <c r="BN38" s="19"/>
      <c r="BO38" s="19"/>
    </row>
    <row r="39" spans="1:67" ht="15.75" x14ac:dyDescent="0.2">
      <c r="A39" s="23">
        <f t="shared" si="0"/>
        <v>46384</v>
      </c>
      <c r="B39" s="24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/>
      <c r="BG39" s="19"/>
      <c r="BH39" s="19"/>
      <c r="BI39" s="19"/>
      <c r="BJ39" s="19"/>
      <c r="BK39" s="19"/>
      <c r="BL39" s="19"/>
      <c r="BM39" s="19"/>
      <c r="BN39" s="19"/>
      <c r="BO39" s="19"/>
    </row>
    <row r="40" spans="1:67" ht="15.75" x14ac:dyDescent="0.2">
      <c r="A40" s="23">
        <f>IF(A39="","",IF(A39=EOMONTH(DATE($N$6,$K$6,1),0),"",A39+1))</f>
        <v>46385</v>
      </c>
      <c r="B40" s="24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/>
      <c r="BG40" s="19"/>
      <c r="BH40" s="19"/>
      <c r="BI40" s="19"/>
      <c r="BJ40" s="19"/>
      <c r="BK40" s="19"/>
      <c r="BL40" s="19"/>
      <c r="BM40" s="19"/>
      <c r="BN40" s="19"/>
      <c r="BO40" s="19"/>
    </row>
    <row r="41" spans="1:67" ht="15.75" x14ac:dyDescent="0.2">
      <c r="A41" s="23">
        <f>IF(A40="","",IF(A40=EOMONTH(DATE($N$6,$K$6,1),0),"",A40+1))</f>
        <v>46386</v>
      </c>
      <c r="B41" s="24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/>
      <c r="BG41" s="19"/>
      <c r="BH41" s="19"/>
      <c r="BI41" s="19"/>
      <c r="BJ41" s="19"/>
      <c r="BK41" s="19"/>
      <c r="BL41" s="19"/>
      <c r="BM41" s="19"/>
      <c r="BN41" s="19"/>
      <c r="BO41" s="19"/>
    </row>
    <row r="42" spans="1:67" ht="15.75" x14ac:dyDescent="0.2">
      <c r="A42" s="23">
        <f>IF(A41="","",IF(A41=EOMONTH(DATE($N$6,$K$6,1),0),"",A41+1))</f>
        <v>46387</v>
      </c>
      <c r="B42" s="24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/>
      <c r="BG42" s="19"/>
      <c r="BH42" s="19"/>
      <c r="BI42" s="19"/>
      <c r="BJ42" s="19"/>
      <c r="BK42" s="19"/>
      <c r="BL42" s="19"/>
      <c r="BM42" s="19"/>
      <c r="BN42" s="19"/>
      <c r="BO42" s="19"/>
    </row>
    <row r="43" spans="1:67" ht="13.5" x14ac:dyDescent="0.25">
      <c r="A43" s="21" t="s">
        <v>205</v>
      </c>
      <c r="B43" s="25" t="s">
        <v>206</v>
      </c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</row>
    <row r="44" spans="1:67" x14ac:dyDescent="0.2">
      <c r="A44" s="22"/>
      <c r="B44" s="22" t="s">
        <v>207</v>
      </c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 t="s">
        <v>208</v>
      </c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</row>
  </sheetData>
  <mergeCells count="45">
    <mergeCell ref="A1:A3"/>
    <mergeCell ref="B1:M3"/>
    <mergeCell ref="N1:BO1"/>
    <mergeCell ref="N2:P2"/>
    <mergeCell ref="Q2:BN2"/>
    <mergeCell ref="N3:P3"/>
    <mergeCell ref="Q3:BN3"/>
    <mergeCell ref="A4:BO4"/>
    <mergeCell ref="A5:BO5"/>
    <mergeCell ref="N6:O6"/>
    <mergeCell ref="A8:A11"/>
    <mergeCell ref="B8:P8"/>
    <mergeCell ref="BO8:BO11"/>
    <mergeCell ref="A23:B23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35:B35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42:B42"/>
    <mergeCell ref="B43:N43"/>
    <mergeCell ref="A36:B36"/>
    <mergeCell ref="A37:B37"/>
    <mergeCell ref="A38:B38"/>
    <mergeCell ref="A39:B39"/>
    <mergeCell ref="A40:B40"/>
    <mergeCell ref="A41:B41"/>
  </mergeCells>
  <conditionalFormatting sqref="AR10">
    <cfRule type="duplicateValues" dxfId="1" priority="2"/>
  </conditionalFormatting>
  <conditionalFormatting sqref="AS10">
    <cfRule type="duplicateValues" dxfId="0" priority="1"/>
  </conditionalFormatting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7" r:id="rId3" name="Spinner 3">
              <controlPr defaultSize="0" autoPict="0">
                <anchor moveWithCells="1" sizeWithCells="1">
                  <from>
                    <xdr:col>11</xdr:col>
                    <xdr:colOff>19050</xdr:colOff>
                    <xdr:row>4</xdr:row>
                    <xdr:rowOff>123825</xdr:rowOff>
                  </from>
                  <to>
                    <xdr:col>11</xdr:col>
                    <xdr:colOff>342900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4" name="Spinner 4">
              <controlPr defaultSize="0" autoPict="0">
                <anchor moveWithCells="1" sizeWithCells="1">
                  <from>
                    <xdr:col>15</xdr:col>
                    <xdr:colOff>0</xdr:colOff>
                    <xdr:row>4</xdr:row>
                    <xdr:rowOff>123825</xdr:rowOff>
                  </from>
                  <to>
                    <xdr:col>15</xdr:col>
                    <xdr:colOff>323850</xdr:colOff>
                    <xdr:row>6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Tháng 1</vt:lpstr>
      <vt:lpstr>Tháng 2</vt:lpstr>
      <vt:lpstr>Tháng 3</vt:lpstr>
      <vt:lpstr>Tháng 4</vt:lpstr>
      <vt:lpstr>Tháng 5</vt:lpstr>
      <vt:lpstr>Tháng 6</vt:lpstr>
      <vt:lpstr>Tháng 7</vt:lpstr>
      <vt:lpstr>Tháng 8</vt:lpstr>
      <vt:lpstr>Tháng 9</vt:lpstr>
      <vt:lpstr>Tháng 10</vt:lpstr>
      <vt:lpstr>Tháng 11</vt:lpstr>
      <vt:lpstr>Tháng 12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</dc:creator>
  <cp:keywords/>
  <dc:description/>
  <cp:lastModifiedBy>a</cp:lastModifiedBy>
  <cp:revision/>
  <dcterms:created xsi:type="dcterms:W3CDTF">2025-12-01T09:32:40Z</dcterms:created>
  <dcterms:modified xsi:type="dcterms:W3CDTF">2026-04-01T03:40:38Z</dcterms:modified>
  <cp:category/>
  <cp:contentStatus/>
</cp:coreProperties>
</file>