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drawings/drawing4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drawings/drawing5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drawings/drawing6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7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8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drawings/drawing9.xml" ContentType="application/vnd.openxmlformats-officedocument.drawing+xml"/>
  <Override PartName="/xl/ctrlProps/ctrlProp17.xml" ContentType="application/vnd.ms-excel.controlproperties+xml"/>
  <Override PartName="/xl/ctrlProps/ctrlProp18.xml" ContentType="application/vnd.ms-excel.controlproperties+xml"/>
  <Override PartName="/xl/drawings/drawing10.xml" ContentType="application/vnd.openxmlformats-officedocument.drawing+xml"/>
  <Override PartName="/xl/ctrlProps/ctrlProp19.xml" ContentType="application/vnd.ms-excel.controlproperties+xml"/>
  <Override PartName="/xl/ctrlProps/ctrlProp20.xml" ContentType="application/vnd.ms-excel.controlproperties+xml"/>
  <Override PartName="/xl/drawings/drawing11.xml" ContentType="application/vnd.openxmlformats-officedocument.drawing+xml"/>
  <Override PartName="/xl/ctrlProps/ctrlProp21.xml" ContentType="application/vnd.ms-excel.controlproperties+xml"/>
  <Override PartName="/xl/ctrlProps/ctrlProp22.xml" ContentType="application/vnd.ms-excel.controlproperties+xml"/>
  <Override PartName="/xl/drawings/drawing12.xml" ContentType="application/vnd.openxmlformats-officedocument.drawing+xml"/>
  <Override PartName="/xl/ctrlProps/ctrlProp23.xml" ContentType="application/vnd.ms-excel.controlproperties+xml"/>
  <Override PartName="/xl/ctrlProps/ctrlProp2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OneDrive - CONG TY CO PHAN THUC PHAM DAN ON\Dân Ôn Foods\THÁI\TỔNG CAMERA CÁC NHÀ MÁY\MP3TT-17-BMIT - Check list Camera Các Nhà Máy\Check list Tổng Các NM ( Năm 2026 )\MP3\NM2\"/>
    </mc:Choice>
  </mc:AlternateContent>
  <bookViews>
    <workbookView xWindow="0" yWindow="0" windowWidth="28800" windowHeight="12375" activeTab="3"/>
  </bookViews>
  <sheets>
    <sheet name="Tháng 1" sheetId="1" r:id="rId1"/>
    <sheet name="Tháng 2" sheetId="2" r:id="rId2"/>
    <sheet name="Tháng 3" sheetId="3" r:id="rId3"/>
    <sheet name="Tháng 4" sheetId="4" r:id="rId4"/>
    <sheet name="Tháng 5" sheetId="5" r:id="rId5"/>
    <sheet name="Tháng 6" sheetId="6" r:id="rId6"/>
    <sheet name="Tháng 7" sheetId="7" r:id="rId7"/>
    <sheet name="Tháng 8" sheetId="8" r:id="rId8"/>
    <sheet name="Tháng 9" sheetId="9" r:id="rId9"/>
    <sheet name="Tháng 10" sheetId="10" r:id="rId10"/>
    <sheet name="Tháng 11" sheetId="11" r:id="rId11"/>
    <sheet name="Tháng 12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2" i="12" l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12" i="1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12" i="10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12" i="9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12" i="8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12" i="7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12" i="6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12" i="5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12" i="4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12" i="3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12" i="2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12" i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</calcChain>
</file>

<file path=xl/sharedStrings.xml><?xml version="1.0" encoding="utf-8"?>
<sst xmlns="http://schemas.openxmlformats.org/spreadsheetml/2006/main" count="1260" uniqueCount="105">
  <si>
    <t>DOF CORP-MP3 Branch</t>
  </si>
  <si>
    <t>CHECK LIST CAMERA</t>
  </si>
  <si>
    <r>
      <t>Ký hiệu:</t>
    </r>
    <r>
      <rPr>
        <sz val="8"/>
        <rFont val="Times New Roman"/>
        <family val="1"/>
      </rPr>
      <t xml:space="preserve">  EP/QĐ-02-SSOP-05-BM-04</t>
    </r>
  </si>
  <si>
    <r>
      <t xml:space="preserve">Ngày ban hành: </t>
    </r>
    <r>
      <rPr>
        <sz val="8"/>
        <rFont val="Times New Roman"/>
        <family val="1"/>
      </rPr>
      <t>01/11/2024</t>
    </r>
  </si>
  <si>
    <r>
      <t>Lần sửa đổi:</t>
    </r>
    <r>
      <rPr>
        <sz val="8"/>
        <rFont val="Times New Roman"/>
        <family val="1"/>
      </rPr>
      <t xml:space="preserve"> 00</t>
    </r>
  </si>
  <si>
    <r>
      <t>BP biên soạn:</t>
    </r>
    <r>
      <rPr>
        <sz val="8"/>
        <rFont val="Times New Roman"/>
        <family val="1"/>
      </rPr>
      <t xml:space="preserve"> ĐATTP</t>
    </r>
  </si>
  <si>
    <t>Trang: 1/1</t>
  </si>
  <si>
    <t>ĐẦU GHI: 190.180.170.8 (NM2)</t>
  </si>
  <si>
    <t>Khu vực:  MP3</t>
  </si>
  <si>
    <t xml:space="preserve">Tháng </t>
  </si>
  <si>
    <t xml:space="preserve">Năm </t>
  </si>
  <si>
    <t>Ngày</t>
  </si>
  <si>
    <t>Mã số kính cần kiểm soát</t>
  </si>
  <si>
    <t>Ghi chú</t>
  </si>
  <si>
    <t>TT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</si>
  <si>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</si>
  <si>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</si>
  <si>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</si>
  <si>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</si>
  <si>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</si>
  <si>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</si>
  <si>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</si>
  <si>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</si>
  <si>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</si>
  <si>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</si>
  <si>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</si>
  <si>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</si>
  <si>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</si>
  <si>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</si>
  <si>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</si>
  <si>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</si>
  <si>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</si>
  <si>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</si>
  <si>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</si>
  <si>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</si>
  <si>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</si>
  <si>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</si>
  <si>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</si>
  <si>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</si>
  <si>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</si>
  <si>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</si>
  <si>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</si>
  <si>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</si>
  <si>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</si>
  <si>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</si>
  <si>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</si>
  <si>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</si>
  <si>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Tên Camera</t>
  </si>
  <si>
    <t xml:space="preserve">Showroom01 out C116 Z26 </t>
  </si>
  <si>
    <t xml:space="preserve">Showroom02 Out C117 Z26 </t>
  </si>
  <si>
    <t xml:space="preserve">Showroom03 out C118Z26 </t>
  </si>
  <si>
    <t xml:space="preserve">Showroom04 C119Z26 </t>
  </si>
  <si>
    <t xml:space="preserve">Showroom05 UpStair C120Z26 </t>
  </si>
  <si>
    <t xml:space="preserve">Showroom06 C121Z26 </t>
  </si>
  <si>
    <t xml:space="preserve">Showroom07 Inside - C122Z26 </t>
  </si>
  <si>
    <t xml:space="preserve">ShowRoom08 Cash C123Z26 </t>
  </si>
  <si>
    <t xml:space="preserve">Showroom09 C126Z26 </t>
  </si>
  <si>
    <t xml:space="preserve">P2 Receptionist-02 Z20 C2-01 </t>
  </si>
  <si>
    <t xml:space="preserve">P2 Receptionist-01 Z20 C2-02 </t>
  </si>
  <si>
    <t xml:space="preserve">P2-Innovation 01 </t>
  </si>
  <si>
    <t xml:space="preserve">P2-Innovation 02 </t>
  </si>
  <si>
    <t xml:space="preserve">P2-Innovation Vancouver </t>
  </si>
  <si>
    <t xml:space="preserve">P2-Innovation 04 </t>
  </si>
  <si>
    <t xml:space="preserve">P2-Innovation 05 </t>
  </si>
  <si>
    <t xml:space="preserve">P2-Innovation 06 </t>
  </si>
  <si>
    <t xml:space="preserve">P2-Innovation 07 </t>
  </si>
  <si>
    <t xml:space="preserve">P2-Innovation 08 </t>
  </si>
  <si>
    <t xml:space="preserve">P2-Innovation Meeting Room 02 </t>
  </si>
  <si>
    <t xml:space="preserve">P2-Innovation Center Room 01 </t>
  </si>
  <si>
    <t xml:space="preserve">P2- Innovation Center Room 02 </t>
  </si>
  <si>
    <t xml:space="preserve">P2- Innovation Center Room 03 </t>
  </si>
  <si>
    <t xml:space="preserve">P2-Innovation Center Room 04 </t>
  </si>
  <si>
    <t xml:space="preserve">P2-Innovation Center Room 05 </t>
  </si>
  <si>
    <t xml:space="preserve">P2-VIP Room </t>
  </si>
  <si>
    <t>Ip Tương Ứng</t>
  </si>
  <si>
    <t>.116</t>
  </si>
  <si>
    <t>.117</t>
  </si>
  <si>
    <t>.118</t>
  </si>
  <si>
    <t>.119</t>
  </si>
  <si>
    <t>.120</t>
  </si>
  <si>
    <t>.121</t>
  </si>
  <si>
    <t>.122</t>
  </si>
  <si>
    <t>.123</t>
  </si>
  <si>
    <t>.126</t>
  </si>
  <si>
    <t>.1</t>
  </si>
  <si>
    <t>.2</t>
  </si>
  <si>
    <t>.147</t>
  </si>
  <si>
    <t>.148</t>
  </si>
  <si>
    <t>.149</t>
  </si>
  <si>
    <t>.150</t>
  </si>
  <si>
    <t>.151</t>
  </si>
  <si>
    <t>.152</t>
  </si>
  <si>
    <t>.153</t>
  </si>
  <si>
    <t>.154</t>
  </si>
  <si>
    <t>.155</t>
  </si>
  <si>
    <t>.156</t>
  </si>
  <si>
    <t>.157</t>
  </si>
  <si>
    <t>.158</t>
  </si>
  <si>
    <t>.159</t>
  </si>
  <si>
    <t>.160</t>
  </si>
  <si>
    <t>.79</t>
  </si>
  <si>
    <t>Ghi chú:</t>
  </si>
  <si>
    <t>Không check ( bình thường )</t>
  </si>
  <si>
    <t>F là Fail ( mất tín hiệu )</t>
  </si>
  <si>
    <t>Người xem xét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</si>
</sst>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color theme="1"/>
      <name val="Times New Roman"/>
      <family val="2"/>
    </font>
    <font>
      <sz val="9"/>
      <name val="Times New Roman"/>
      <family val="1"/>
    </font>
    <font>
      <b/>
      <sz val="16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1"/>
      <color theme="1"/>
      <name val="Calibri Light"/>
      <family val="1"/>
      <scheme val="major"/>
    </font>
    <font>
      <b/>
      <i/>
      <u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8" fillId="0" borderId="4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/>
    <xf numFmtId="0" fontId="8" fillId="0" borderId="1" xfId="0" applyFont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2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0" fontId="12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pin" dx="22" fmlaLink="$K$6" max="12" min="1" page="10"/>
</file>

<file path=xl/ctrlProps/ctrlProp2.xml><?xml version="1.0" encoding="utf-8"?>
<formControlPr xmlns="http://schemas.microsoft.com/office/spreadsheetml/2009/9/main" objectType="Spin" dx="22" fmlaLink="$N$6" max="2060" min="2025" page="10" val="2026"/>
</file>

<file path=xl/ctrlProps/ctrlProp3.xml><?xml version="1.0" encoding="utf-8"?>
<formControlPr xmlns="http://schemas.microsoft.com/office/spreadsheetml/2009/9/main" objectType="Spin" dx="22" fmlaLink="$K$6" max="12" min="1" page="10" val="2"/>
</file>

<file path=xl/ctrlProps/ctrlProp4.xml><?xml version="1.0" encoding="utf-8"?>
<formControlPr xmlns="http://schemas.microsoft.com/office/spreadsheetml/2009/9/main" objectType="Spin" dx="22" fmlaLink="$N$6" max="2060" min="2025" page="10" val="2026"/>
</file>

<file path=xl/ctrlProps/ctrlProp5.xml><?xml version="1.0" encoding="utf-8"?>
<formControlPr xmlns="http://schemas.microsoft.com/office/spreadsheetml/2009/9/main" objectType="Spin" dx="22" fmlaLink="$K$6" max="12" min="1" page="10" val="3"/>
</file>

<file path=xl/ctrlProps/ctrlProp6.xml><?xml version="1.0" encoding="utf-8"?>
<formControlPr xmlns="http://schemas.microsoft.com/office/spreadsheetml/2009/9/main" objectType="Spin" dx="22" fmlaLink="$N$6" max="2060" min="2025" page="10" val="2026"/>
</file>

<file path=xl/ctrlProps/ctrlProp7.xml><?xml version="1.0" encoding="utf-8"?>
<formControlPr xmlns="http://schemas.microsoft.com/office/spreadsheetml/2009/9/main" objectType="Spin" dx="22" fmlaLink="$K$6" max="12" min="1" page="10" val="4"/>
</file>

<file path=xl/ctrlProps/ctrlProp8.xml><?xml version="1.0" encoding="utf-8"?>
<formControlPr xmlns="http://schemas.microsoft.com/office/spreadsheetml/2009/9/main" objectType="Spin" dx="22" fmlaLink="$N$6" max="2060" min="2025" page="10" val="2026"/>
</file>

<file path=xl/ctrlProps/ctrlProp9.xml><?xml version="1.0" encoding="utf-8"?>
<formControlPr xmlns="http://schemas.microsoft.com/office/spreadsheetml/2009/9/main" objectType="Spin" dx="22" fmlaLink="$K$6" max="12" min="1" page="10" val="5"/>
</file>

<file path=xl/ctrlProps/ctrlProp10.xml><?xml version="1.0" encoding="utf-8"?>
<formControlPr xmlns="http://schemas.microsoft.com/office/spreadsheetml/2009/9/main" objectType="Spin" dx="22" fmlaLink="$N$6" max="2060" min="2025" page="10" val="2026"/>
</file>

<file path=xl/ctrlProps/ctrlProp11.xml><?xml version="1.0" encoding="utf-8"?>
<formControlPr xmlns="http://schemas.microsoft.com/office/spreadsheetml/2009/9/main" objectType="Spin" dx="22" fmlaLink="$K$6" max="12" min="1" page="10" val="6"/>
</file>

<file path=xl/ctrlProps/ctrlProp12.xml><?xml version="1.0" encoding="utf-8"?>
<formControlPr xmlns="http://schemas.microsoft.com/office/spreadsheetml/2009/9/main" objectType="Spin" dx="22" fmlaLink="$N$6" max="2060" min="2025" page="10" val="2026"/>
</file>

<file path=xl/ctrlProps/ctrlProp13.xml><?xml version="1.0" encoding="utf-8"?>
<formControlPr xmlns="http://schemas.microsoft.com/office/spreadsheetml/2009/9/main" objectType="Spin" dx="22" fmlaLink="$K$6" max="12" min="1" page="10" val="7"/>
</file>

<file path=xl/ctrlProps/ctrlProp14.xml><?xml version="1.0" encoding="utf-8"?>
<formControlPr xmlns="http://schemas.microsoft.com/office/spreadsheetml/2009/9/main" objectType="Spin" dx="22" fmlaLink="$N$6" max="2060" min="2025" page="10" val="2026"/>
</file>

<file path=xl/ctrlProps/ctrlProp15.xml><?xml version="1.0" encoding="utf-8"?>
<formControlPr xmlns="http://schemas.microsoft.com/office/spreadsheetml/2009/9/main" objectType="Spin" dx="22" fmlaLink="$K$6" max="12" min="1" page="10" val="8"/>
</file>

<file path=xl/ctrlProps/ctrlProp16.xml><?xml version="1.0" encoding="utf-8"?>
<formControlPr xmlns="http://schemas.microsoft.com/office/spreadsheetml/2009/9/main" objectType="Spin" dx="22" fmlaLink="$N$6" max="2060" min="2025" page="10" val="2026"/>
</file>

<file path=xl/ctrlProps/ctrlProp17.xml><?xml version="1.0" encoding="utf-8"?>
<formControlPr xmlns="http://schemas.microsoft.com/office/spreadsheetml/2009/9/main" objectType="Spin" dx="22" fmlaLink="$K$6" max="12" min="1" page="10" val="9"/>
</file>

<file path=xl/ctrlProps/ctrlProp18.xml><?xml version="1.0" encoding="utf-8"?>
<formControlPr xmlns="http://schemas.microsoft.com/office/spreadsheetml/2009/9/main" objectType="Spin" dx="22" fmlaLink="$N$6" max="2060" min="2025" page="10" val="2026"/>
</file>

<file path=xl/ctrlProps/ctrlProp19.xml><?xml version="1.0" encoding="utf-8"?>
<formControlPr xmlns="http://schemas.microsoft.com/office/spreadsheetml/2009/9/main" objectType="Spin" dx="22" fmlaLink="$K$6" max="12" min="1" page="10" val="10"/>
</file>

<file path=xl/ctrlProps/ctrlProp20.xml><?xml version="1.0" encoding="utf-8"?>
<formControlPr xmlns="http://schemas.microsoft.com/office/spreadsheetml/2009/9/main" objectType="Spin" dx="22" fmlaLink="$N$6" max="2060" min="2025" page="10" val="2026"/>
</file>

<file path=xl/ctrlProps/ctrlProp21.xml><?xml version="1.0" encoding="utf-8"?>
<formControlPr xmlns="http://schemas.microsoft.com/office/spreadsheetml/2009/9/main" objectType="Spin" dx="22" fmlaLink="$K$6" max="12" min="1" page="10" val="11"/>
</file>

<file path=xl/ctrlProps/ctrlProp22.xml><?xml version="1.0" encoding="utf-8"?>
<formControlPr xmlns="http://schemas.microsoft.com/office/spreadsheetml/2009/9/main" objectType="Spin" dx="22" fmlaLink="$N$6" max="2060" min="2025" page="10" val="2026"/>
</file>

<file path=xl/ctrlProps/ctrlProp23.xml><?xml version="1.0" encoding="utf-8"?>
<formControlPr xmlns="http://schemas.microsoft.com/office/spreadsheetml/2009/9/main" objectType="Spin" dx="22" fmlaLink="$K$6" max="12" min="1" page="10" val="12"/>
</file>

<file path=xl/ctrlProps/ctrlProp24.xml><?xml version="1.0" encoding="utf-8"?>
<formControlPr xmlns="http://schemas.microsoft.com/office/spreadsheetml/2009/9/main" objectType="Spin" dx="22" fmlaLink="$N$6" max="2060" min="2025" page="10" val="2026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1027" name="Spinner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1028" name="Spinner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2051" name="Spinner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2052" name="Spinner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3075" name="Spinner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3076" name="Spinner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4099" name="Spinner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4100" name="Spinner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5123" name="Spinner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5124" name="Spinner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6147" name="Spinner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6148" name="Spinner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7171" name="Spinner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7172" name="Spinner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8195" name="Spinner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8196" name="Spinner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9219" name="Spinner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9220" name="Spinner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10243" name="Spinner 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10244" name="Spinner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11267" name="Spinner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11268" name="Spinner 4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12291" name="Spinner 3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12292" name="Spinner 4" hidden="1">
              <a:extLst>
                <a:ext uri="{63B3BB69-23CF-44E3-9099-C40C66FF867C}">
                  <a14:compatExt spid="_x0000_s12292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trlProp" Target="../ctrlProps/ctrlProp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ctrlProp" Target="../ctrlProps/ctrlProp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openxmlformats.org/officeDocument/2006/relationships/ctrlProp" Target="../ctrlProps/ctrlProp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4" Type="http://schemas.openxmlformats.org/officeDocument/2006/relationships/ctrlProp" Target="../ctrlProps/ctrlProp1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4" Type="http://schemas.openxmlformats.org/officeDocument/2006/relationships/ctrlProp" Target="../ctrlProps/ctrlProp1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Relationship Id="rId4" Type="http://schemas.openxmlformats.org/officeDocument/2006/relationships/ctrlProp" Target="../ctrlProps/ctrlProp1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5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Relationship Id="rId4" Type="http://schemas.openxmlformats.org/officeDocument/2006/relationships/ctrlProp" Target="../ctrlProps/ctrlProp1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7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Relationship Id="rId4" Type="http://schemas.openxmlformats.org/officeDocument/2006/relationships/ctrlProp" Target="../ctrlProps/ctrlProp1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9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Relationship Id="rId4" Type="http://schemas.openxmlformats.org/officeDocument/2006/relationships/ctrlProp" Target="../ctrlProps/ctrlProp2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Relationship Id="rId4" Type="http://schemas.openxmlformats.org/officeDocument/2006/relationships/ctrlProp" Target="../ctrlProps/ctrlProp2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3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Relationship Id="rId4" Type="http://schemas.openxmlformats.org/officeDocument/2006/relationships/ctrlProp" Target="../ctrlProps/ctrlProp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zoomScale="70" zoomScaleNormal="70" workbookViewId="0">
      <selection activeCell="H38" sqref="H38"/>
    </sheetView>
  </sheetViews>
  <sheetFormatPr defaultRowHeight="12.75" x14ac:dyDescent="0.2"/>
  <cols>
    <col min="1" max="2" width="23.5" bestFit="1" customWidth="1"/>
    <col min="3" max="3" width="37.83203125" bestFit="1" customWidth="1"/>
    <col min="4" max="4" width="38.6640625" bestFit="1" customWidth="1"/>
    <col min="5" max="5" width="37.5" bestFit="1" customWidth="1"/>
    <col min="6" max="6" width="32.33203125" bestFit="1" customWidth="1"/>
    <col min="7" max="7" width="43.6640625" bestFit="1" customWidth="1"/>
    <col min="8" max="8" width="32.33203125" bestFit="1" customWidth="1"/>
    <col min="9" max="9" width="44" bestFit="1" customWidth="1"/>
    <col min="10" max="10" width="41.6640625" bestFit="1" customWidth="1"/>
    <col min="11" max="11" width="32.83203125" bestFit="1" customWidth="1"/>
    <col min="12" max="12" width="6.33203125" bestFit="1" customWidth="1"/>
    <col min="13" max="13" width="7.5" bestFit="1" customWidth="1"/>
    <col min="14" max="14" width="6.33203125" bestFit="1" customWidth="1"/>
    <col min="15" max="15" width="15.1640625" bestFit="1" customWidth="1"/>
    <col min="16" max="17" width="6.33203125" bestFit="1" customWidth="1"/>
    <col min="18" max="19" width="44.1640625" bestFit="1" customWidth="1"/>
    <col min="20" max="20" width="25.6640625" bestFit="1" customWidth="1"/>
    <col min="21" max="21" width="26.33203125" bestFit="1" customWidth="1"/>
    <col min="22" max="22" width="37.83203125" bestFit="1" customWidth="1"/>
    <col min="23" max="27" width="26.33203125" bestFit="1" customWidth="1"/>
    <col min="28" max="28" width="46.6640625" bestFit="1" customWidth="1"/>
    <col min="29" max="29" width="44.1640625" bestFit="1" customWidth="1"/>
    <col min="30" max="31" width="45.33203125" bestFit="1" customWidth="1"/>
    <col min="32" max="33" width="44.6640625" bestFit="1" customWidth="1"/>
    <col min="34" max="34" width="20.6640625" bestFit="1" customWidth="1"/>
    <col min="35" max="35" width="14.6640625" bestFit="1" customWidth="1"/>
  </cols>
  <sheetData>
    <row r="1" spans="1:35" x14ac:dyDescent="0.2">
      <c r="A1" s="12" t="s">
        <v>0</v>
      </c>
      <c r="B1" s="13" t="s">
        <v>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5"/>
      <c r="N1" s="22" t="s">
        <v>2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4"/>
    </row>
    <row r="2" spans="1:35" x14ac:dyDescent="0.2">
      <c r="A2" s="12"/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  <c r="N2" s="22" t="s">
        <v>3</v>
      </c>
      <c r="O2" s="23"/>
      <c r="P2" s="24"/>
      <c r="Q2" s="22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1" t="s">
        <v>4</v>
      </c>
    </row>
    <row r="3" spans="1:35" x14ac:dyDescent="0.2">
      <c r="A3" s="12"/>
      <c r="B3" s="19"/>
      <c r="C3" s="20"/>
      <c r="D3" s="20"/>
      <c r="E3" s="20"/>
      <c r="F3" s="20"/>
      <c r="G3" s="20"/>
      <c r="H3" s="20"/>
      <c r="I3" s="20"/>
      <c r="J3" s="20"/>
      <c r="K3" s="20"/>
      <c r="L3" s="20"/>
      <c r="M3" s="21"/>
      <c r="N3" s="22" t="s">
        <v>5</v>
      </c>
      <c r="O3" s="23"/>
      <c r="P3" s="24"/>
      <c r="Q3" s="22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1" t="s">
        <v>6</v>
      </c>
    </row>
    <row r="4" spans="1:35" x14ac:dyDescent="0.2">
      <c r="A4" s="25" t="s">
        <v>7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7"/>
    </row>
    <row r="5" spans="1:35" ht="18.75" x14ac:dyDescent="0.2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</row>
    <row r="6" spans="1:35" ht="15.75" x14ac:dyDescent="0.25">
      <c r="A6" s="2" t="s">
        <v>8</v>
      </c>
      <c r="B6" s="3"/>
      <c r="C6" s="3"/>
      <c r="D6" s="3"/>
      <c r="E6" s="3"/>
      <c r="F6" s="3"/>
      <c r="G6" s="3"/>
      <c r="H6" s="3"/>
      <c r="I6" s="3"/>
      <c r="J6" s="3" t="s">
        <v>9</v>
      </c>
      <c r="K6" s="3">
        <v>1</v>
      </c>
      <c r="L6" s="3"/>
      <c r="M6" s="3" t="s">
        <v>10</v>
      </c>
      <c r="N6" s="29">
        <v>2026</v>
      </c>
      <c r="O6" s="29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30" t="s">
        <v>11</v>
      </c>
      <c r="B8" s="32" t="s">
        <v>12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35" t="s">
        <v>13</v>
      </c>
    </row>
    <row r="9" spans="1:35" x14ac:dyDescent="0.2">
      <c r="A9" s="30"/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23</v>
      </c>
      <c r="L9" s="5" t="s">
        <v>24</v>
      </c>
      <c r="M9" s="5" t="s">
        <v>25</v>
      </c>
      <c r="N9" s="5" t="s">
        <v>26</v>
      </c>
      <c r="O9" s="5" t="s">
        <v>27</v>
      </c>
      <c r="P9" s="5" t="s">
        <v>28</v>
      </c>
      <c r="Q9" s="5" t="s">
        <v>29</v>
      </c>
      <c r="R9" s="5" t="s">
        <v>30</v>
      </c>
      <c r="S9" s="5" t="s">
        <v>31</v>
      </c>
      <c r="T9" s="5" t="s">
        <v>32</v>
      </c>
      <c r="U9" s="5" t="s">
        <v>33</v>
      </c>
      <c r="V9" s="5" t="s">
        <v>34</v>
      </c>
      <c r="W9" s="5" t="s">
        <v>35</v>
      </c>
      <c r="X9" s="5" t="s">
        <v>36</v>
      </c>
      <c r="Y9" s="5" t="s">
        <v>37</v>
      </c>
      <c r="Z9" s="5" t="s">
        <v>38</v>
      </c>
      <c r="AA9" s="5" t="s">
        <v>39</v>
      </c>
      <c r="AB9" s="5" t="s">
        <v>40</v>
      </c>
      <c r="AC9" s="5" t="s">
        <v>41</v>
      </c>
      <c r="AD9" s="5" t="s">
        <v>42</v>
      </c>
      <c r="AE9" s="5" t="s">
        <v>43</v>
      </c>
      <c r="AF9" s="5" t="s">
        <v>44</v>
      </c>
      <c r="AG9" s="5" t="s">
        <v>45</v>
      </c>
      <c r="AH9" s="5" t="s">
        <v>46</v>
      </c>
      <c r="AI9" s="36"/>
    </row>
    <row r="10" spans="1:35" ht="15" x14ac:dyDescent="0.25">
      <c r="A10" s="30"/>
      <c r="B10" s="6" t="s">
        <v>47</v>
      </c>
      <c r="C10" s="7" t="s">
        <v>48</v>
      </c>
      <c r="D10" s="7" t="s">
        <v>49</v>
      </c>
      <c r="E10" s="7" t="s">
        <v>50</v>
      </c>
      <c r="F10" s="7" t="s">
        <v>51</v>
      </c>
      <c r="G10" s="7" t="s">
        <v>52</v>
      </c>
      <c r="H10" s="7" t="s">
        <v>53</v>
      </c>
      <c r="I10" s="7" t="s">
        <v>54</v>
      </c>
      <c r="J10" s="7" t="s">
        <v>55</v>
      </c>
      <c r="K10" s="7" t="s">
        <v>56</v>
      </c>
      <c r="L10" s="7"/>
      <c r="M10" s="7"/>
      <c r="N10" s="7"/>
      <c r="O10" s="7"/>
      <c r="P10" s="7"/>
      <c r="Q10" s="7"/>
      <c r="R10" s="7" t="s">
        <v>57</v>
      </c>
      <c r="S10" s="7" t="s">
        <v>58</v>
      </c>
      <c r="T10" s="7" t="s">
        <v>59</v>
      </c>
      <c r="U10" s="7" t="s">
        <v>60</v>
      </c>
      <c r="V10" s="7" t="s">
        <v>61</v>
      </c>
      <c r="W10" s="7" t="s">
        <v>62</v>
      </c>
      <c r="X10" s="7" t="s">
        <v>63</v>
      </c>
      <c r="Y10" s="7" t="s">
        <v>64</v>
      </c>
      <c r="Z10" s="7" t="s">
        <v>65</v>
      </c>
      <c r="AA10" s="7" t="s">
        <v>66</v>
      </c>
      <c r="AB10" s="7" t="s">
        <v>67</v>
      </c>
      <c r="AC10" s="7" t="s">
        <v>68</v>
      </c>
      <c r="AD10" s="7" t="s">
        <v>69</v>
      </c>
      <c r="AE10" s="7" t="s">
        <v>70</v>
      </c>
      <c r="AF10" s="7" t="s">
        <v>71</v>
      </c>
      <c r="AG10" s="7" t="s">
        <v>72</v>
      </c>
      <c r="AH10" s="7" t="s">
        <v>73</v>
      </c>
      <c r="AI10" s="36"/>
    </row>
    <row r="11" spans="1:35" ht="15" x14ac:dyDescent="0.25">
      <c r="A11" s="31"/>
      <c r="B11" s="6" t="s">
        <v>74</v>
      </c>
      <c r="C11" s="7" t="s">
        <v>75</v>
      </c>
      <c r="D11" s="7" t="s">
        <v>76</v>
      </c>
      <c r="E11" s="7" t="s">
        <v>77</v>
      </c>
      <c r="F11" s="7" t="s">
        <v>78</v>
      </c>
      <c r="G11" s="7" t="s">
        <v>79</v>
      </c>
      <c r="H11" s="7" t="s">
        <v>80</v>
      </c>
      <c r="I11" s="7" t="s">
        <v>81</v>
      </c>
      <c r="J11" s="7" t="s">
        <v>82</v>
      </c>
      <c r="K11" s="7" t="s">
        <v>83</v>
      </c>
      <c r="L11" s="7"/>
      <c r="M11" s="7"/>
      <c r="N11" s="7"/>
      <c r="O11" s="7"/>
      <c r="P11" s="7"/>
      <c r="Q11" s="7"/>
      <c r="R11" s="7" t="s">
        <v>84</v>
      </c>
      <c r="S11" s="7" t="s">
        <v>85</v>
      </c>
      <c r="T11" s="7" t="s">
        <v>86</v>
      </c>
      <c r="U11" s="7" t="s">
        <v>87</v>
      </c>
      <c r="V11" s="7" t="s">
        <v>88</v>
      </c>
      <c r="W11" s="7" t="s">
        <v>89</v>
      </c>
      <c r="X11" s="7" t="s">
        <v>90</v>
      </c>
      <c r="Y11" s="7" t="s">
        <v>91</v>
      </c>
      <c r="Z11" s="7" t="s">
        <v>92</v>
      </c>
      <c r="AA11" s="7" t="s">
        <v>93</v>
      </c>
      <c r="AB11" s="7" t="s">
        <v>94</v>
      </c>
      <c r="AC11" s="7" t="s">
        <v>95</v>
      </c>
      <c r="AD11" s="7" t="s">
        <v>96</v>
      </c>
      <c r="AE11" s="7" t="s">
        <v>97</v>
      </c>
      <c r="AF11" s="7" t="s">
        <v>98</v>
      </c>
      <c r="AG11" s="7" t="s">
        <v>99</v>
      </c>
      <c r="AH11" s="7" t="s">
        <v>100</v>
      </c>
      <c r="AI11" s="37"/>
    </row>
    <row r="12" spans="1:35" ht="15.75" x14ac:dyDescent="0.2">
      <c r="A12" s="38">
        <f>DATE(N6,K6,1)</f>
        <v>46023</v>
      </c>
      <c r="B12" s="39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</row>
    <row r="13" spans="1:35" ht="15.75" x14ac:dyDescent="0.2">
      <c r="A13" s="38">
        <f>A12+1</f>
        <v>46024</v>
      </c>
      <c r="B13" s="39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</row>
    <row r="14" spans="1:35" ht="15.75" x14ac:dyDescent="0.2">
      <c r="A14" s="38">
        <f t="shared" ref="A14:A39" si="0">A13+1</f>
        <v>46025</v>
      </c>
      <c r="B14" s="39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</row>
    <row r="15" spans="1:35" ht="15.75" x14ac:dyDescent="0.2">
      <c r="A15" s="38">
        <f t="shared" si="0"/>
        <v>46026</v>
      </c>
      <c r="B15" s="39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</row>
    <row r="16" spans="1:35" ht="15.75" x14ac:dyDescent="0.2">
      <c r="A16" s="38">
        <f t="shared" si="0"/>
        <v>46027</v>
      </c>
      <c r="B16" s="39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</row>
    <row r="17" spans="1:35" ht="15.75" x14ac:dyDescent="0.2">
      <c r="A17" s="38">
        <f t="shared" si="0"/>
        <v>46028</v>
      </c>
      <c r="B17" s="39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</row>
    <row r="18" spans="1:35" ht="15.75" x14ac:dyDescent="0.2">
      <c r="A18" s="38">
        <f t="shared" si="0"/>
        <v>46029</v>
      </c>
      <c r="B18" s="39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</row>
    <row r="19" spans="1:35" ht="15.75" x14ac:dyDescent="0.2">
      <c r="A19" s="38">
        <f t="shared" si="0"/>
        <v>46030</v>
      </c>
      <c r="B19" s="39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</row>
    <row r="20" spans="1:35" ht="15.75" x14ac:dyDescent="0.2">
      <c r="A20" s="38">
        <f t="shared" si="0"/>
        <v>46031</v>
      </c>
      <c r="B20" s="39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</row>
    <row r="21" spans="1:35" ht="15.75" x14ac:dyDescent="0.2">
      <c r="A21" s="38">
        <f t="shared" si="0"/>
        <v>46032</v>
      </c>
      <c r="B21" s="39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</row>
    <row r="22" spans="1:35" ht="15.75" x14ac:dyDescent="0.2">
      <c r="A22" s="38">
        <f t="shared" si="0"/>
        <v>46033</v>
      </c>
      <c r="B22" s="39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</row>
    <row r="23" spans="1:35" ht="15.75" x14ac:dyDescent="0.2">
      <c r="A23" s="38">
        <f t="shared" si="0"/>
        <v>46034</v>
      </c>
      <c r="B23" s="39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</row>
    <row r="24" spans="1:35" ht="15.75" x14ac:dyDescent="0.2">
      <c r="A24" s="38">
        <f t="shared" si="0"/>
        <v>46035</v>
      </c>
      <c r="B24" s="39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</row>
    <row r="25" spans="1:35" ht="15.75" x14ac:dyDescent="0.2">
      <c r="A25" s="38">
        <f t="shared" si="0"/>
        <v>46036</v>
      </c>
      <c r="B25" s="39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</row>
    <row r="26" spans="1:35" ht="15.75" x14ac:dyDescent="0.2">
      <c r="A26" s="38">
        <f t="shared" si="0"/>
        <v>46037</v>
      </c>
      <c r="B26" s="39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</row>
    <row r="27" spans="1:35" ht="15.75" x14ac:dyDescent="0.2">
      <c r="A27" s="38">
        <f t="shared" si="0"/>
        <v>46038</v>
      </c>
      <c r="B27" s="39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</row>
    <row r="28" spans="1:35" ht="15.75" x14ac:dyDescent="0.2">
      <c r="A28" s="38">
        <f t="shared" si="0"/>
        <v>46039</v>
      </c>
      <c r="B28" s="39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</row>
    <row r="29" spans="1:35" ht="15.75" x14ac:dyDescent="0.2">
      <c r="A29" s="38">
        <f t="shared" si="0"/>
        <v>46040</v>
      </c>
      <c r="B29" s="39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</row>
    <row r="30" spans="1:35" ht="15.75" x14ac:dyDescent="0.2">
      <c r="A30" s="38">
        <f t="shared" si="0"/>
        <v>46041</v>
      </c>
      <c r="B30" s="39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</row>
    <row r="31" spans="1:35" ht="15.75" x14ac:dyDescent="0.2">
      <c r="A31" s="38">
        <f t="shared" si="0"/>
        <v>46042</v>
      </c>
      <c r="B31" s="39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</row>
    <row r="32" spans="1:35" ht="15.75" x14ac:dyDescent="0.2">
      <c r="A32" s="38">
        <f t="shared" si="0"/>
        <v>46043</v>
      </c>
      <c r="B32" s="39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</row>
    <row r="33" spans="1:35" ht="15.75" x14ac:dyDescent="0.2">
      <c r="A33" s="38">
        <f t="shared" si="0"/>
        <v>46044</v>
      </c>
      <c r="B33" s="39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</row>
    <row r="34" spans="1:35" ht="15.75" x14ac:dyDescent="0.2">
      <c r="A34" s="38">
        <f>A33+1</f>
        <v>46045</v>
      </c>
      <c r="B34" s="39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</row>
    <row r="35" spans="1:35" ht="15.75" x14ac:dyDescent="0.2">
      <c r="A35" s="38">
        <f t="shared" si="0"/>
        <v>46046</v>
      </c>
      <c r="B35" s="39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</row>
    <row r="36" spans="1:35" ht="15.75" x14ac:dyDescent="0.2">
      <c r="A36" s="38">
        <f t="shared" si="0"/>
        <v>46047</v>
      </c>
      <c r="B36" s="39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</row>
    <row r="37" spans="1:35" ht="15.75" x14ac:dyDescent="0.2">
      <c r="A37" s="38">
        <f t="shared" si="0"/>
        <v>46048</v>
      </c>
      <c r="B37" s="39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</row>
    <row r="38" spans="1:35" ht="15.75" x14ac:dyDescent="0.2">
      <c r="A38" s="38">
        <f t="shared" si="0"/>
        <v>46049</v>
      </c>
      <c r="B38" s="39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</row>
    <row r="39" spans="1:35" ht="15.75" x14ac:dyDescent="0.2">
      <c r="A39" s="38">
        <f t="shared" si="0"/>
        <v>46050</v>
      </c>
      <c r="B39" s="39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</row>
    <row r="40" spans="1:35" ht="15.75" x14ac:dyDescent="0.2">
      <c r="A40" s="38">
        <f>IF(A39="","",IF(A39=EOMONTH(DATE($N$6,$K$6,1),0),"",A39+1))</f>
        <v>46051</v>
      </c>
      <c r="B40" s="39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</row>
    <row r="41" spans="1:35" ht="15.75" x14ac:dyDescent="0.2">
      <c r="A41" s="38">
        <f>IF(A40="","",IF(A40=EOMONTH(DATE($N$6,$K$6,1),0),"",A40+1))</f>
        <v>46052</v>
      </c>
      <c r="B41" s="39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</row>
    <row r="42" spans="1:35" ht="15.75" x14ac:dyDescent="0.2">
      <c r="A42" s="38">
        <f>IF(A41="","",IF(A41=EOMONTH(DATE($N$6,$K$6,1),0),"",A41+1))</f>
        <v>46053</v>
      </c>
      <c r="B42" s="39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</row>
    <row r="43" spans="1:35" ht="13.5" x14ac:dyDescent="0.25">
      <c r="A43" s="9" t="s">
        <v>101</v>
      </c>
      <c r="B43" s="40" t="s">
        <v>102</v>
      </c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</row>
    <row r="44" spans="1:35" x14ac:dyDescent="0.2">
      <c r="A44" s="11"/>
      <c r="B44" s="10" t="s">
        <v>103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 t="s">
        <v>104</v>
      </c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AI4"/>
    <mergeCell ref="A5:AI5"/>
    <mergeCell ref="N6:O6"/>
    <mergeCell ref="A8:A11"/>
    <mergeCell ref="B8:P8"/>
    <mergeCell ref="AI8:AI11"/>
    <mergeCell ref="A1:A3"/>
    <mergeCell ref="B1:M3"/>
    <mergeCell ref="N1:AI1"/>
    <mergeCell ref="N2:P2"/>
    <mergeCell ref="Q2:AH2"/>
    <mergeCell ref="N3:P3"/>
    <mergeCell ref="Q3:AH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zoomScale="70" zoomScaleNormal="70" workbookViewId="0">
      <selection activeCell="G28" sqref="G28"/>
    </sheetView>
  </sheetViews>
  <sheetFormatPr defaultRowHeight="12.75" x14ac:dyDescent="0.2"/>
  <cols>
    <col min="1" max="2" width="23.5" bestFit="1" customWidth="1"/>
    <col min="3" max="3" width="37.83203125" bestFit="1" customWidth="1"/>
    <col min="4" max="4" width="38.6640625" bestFit="1" customWidth="1"/>
    <col min="5" max="5" width="37.5" bestFit="1" customWidth="1"/>
    <col min="6" max="6" width="32.33203125" bestFit="1" customWidth="1"/>
    <col min="7" max="7" width="43.6640625" bestFit="1" customWidth="1"/>
    <col min="8" max="8" width="32.33203125" bestFit="1" customWidth="1"/>
    <col min="9" max="9" width="44" bestFit="1" customWidth="1"/>
    <col min="10" max="10" width="41.6640625" bestFit="1" customWidth="1"/>
    <col min="11" max="11" width="32.83203125" bestFit="1" customWidth="1"/>
    <col min="12" max="12" width="6.33203125" bestFit="1" customWidth="1"/>
    <col min="13" max="13" width="7.5" bestFit="1" customWidth="1"/>
    <col min="14" max="14" width="6.33203125" bestFit="1" customWidth="1"/>
    <col min="15" max="15" width="15.1640625" bestFit="1" customWidth="1"/>
    <col min="16" max="17" width="6.33203125" bestFit="1" customWidth="1"/>
    <col min="18" max="19" width="44.1640625" bestFit="1" customWidth="1"/>
    <col min="20" max="20" width="25.6640625" bestFit="1" customWidth="1"/>
    <col min="21" max="21" width="26.33203125" bestFit="1" customWidth="1"/>
    <col min="22" max="22" width="37.83203125" bestFit="1" customWidth="1"/>
    <col min="23" max="27" width="26.33203125" bestFit="1" customWidth="1"/>
    <col min="28" max="28" width="46.6640625" bestFit="1" customWidth="1"/>
    <col min="29" max="29" width="44.1640625" bestFit="1" customWidth="1"/>
    <col min="30" max="31" width="45.33203125" bestFit="1" customWidth="1"/>
    <col min="32" max="33" width="44.6640625" bestFit="1" customWidth="1"/>
    <col min="34" max="34" width="20.6640625" bestFit="1" customWidth="1"/>
    <col min="35" max="35" width="14.6640625" bestFit="1" customWidth="1"/>
  </cols>
  <sheetData>
    <row r="1" spans="1:35" x14ac:dyDescent="0.2">
      <c r="A1" s="12" t="s">
        <v>0</v>
      </c>
      <c r="B1" s="13" t="s">
        <v>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5"/>
      <c r="N1" s="22" t="s">
        <v>2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4"/>
    </row>
    <row r="2" spans="1:35" x14ac:dyDescent="0.2">
      <c r="A2" s="12"/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  <c r="N2" s="22" t="s">
        <v>3</v>
      </c>
      <c r="O2" s="23"/>
      <c r="P2" s="24"/>
      <c r="Q2" s="22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1" t="s">
        <v>4</v>
      </c>
    </row>
    <row r="3" spans="1:35" x14ac:dyDescent="0.2">
      <c r="A3" s="12"/>
      <c r="B3" s="19"/>
      <c r="C3" s="20"/>
      <c r="D3" s="20"/>
      <c r="E3" s="20"/>
      <c r="F3" s="20"/>
      <c r="G3" s="20"/>
      <c r="H3" s="20"/>
      <c r="I3" s="20"/>
      <c r="J3" s="20"/>
      <c r="K3" s="20"/>
      <c r="L3" s="20"/>
      <c r="M3" s="21"/>
      <c r="N3" s="22" t="s">
        <v>5</v>
      </c>
      <c r="O3" s="23"/>
      <c r="P3" s="24"/>
      <c r="Q3" s="22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1" t="s">
        <v>6</v>
      </c>
    </row>
    <row r="4" spans="1:35" x14ac:dyDescent="0.2">
      <c r="A4" s="25" t="s">
        <v>7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7"/>
    </row>
    <row r="5" spans="1:35" ht="18.75" x14ac:dyDescent="0.2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</row>
    <row r="6" spans="1:35" ht="15.75" x14ac:dyDescent="0.25">
      <c r="A6" s="2" t="s">
        <v>8</v>
      </c>
      <c r="B6" s="3"/>
      <c r="C6" s="3"/>
      <c r="D6" s="3"/>
      <c r="E6" s="3"/>
      <c r="F6" s="3"/>
      <c r="G6" s="3"/>
      <c r="H6" s="3"/>
      <c r="I6" s="3"/>
      <c r="J6" s="3" t="s">
        <v>9</v>
      </c>
      <c r="K6" s="3">
        <v>2</v>
      </c>
      <c r="L6" s="3"/>
      <c r="M6" s="3" t="s">
        <v>10</v>
      </c>
      <c r="N6" s="29">
        <v>2026</v>
      </c>
      <c r="O6" s="29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30" t="s">
        <v>11</v>
      </c>
      <c r="B8" s="32" t="s">
        <v>12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35" t="s">
        <v>13</v>
      </c>
    </row>
    <row r="9" spans="1:35" x14ac:dyDescent="0.2">
      <c r="A9" s="30"/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23</v>
      </c>
      <c r="L9" s="5" t="s">
        <v>24</v>
      </c>
      <c r="M9" s="5" t="s">
        <v>25</v>
      </c>
      <c r="N9" s="5" t="s">
        <v>26</v>
      </c>
      <c r="O9" s="5" t="s">
        <v>27</v>
      </c>
      <c r="P9" s="5" t="s">
        <v>28</v>
      </c>
      <c r="Q9" s="5" t="s">
        <v>29</v>
      </c>
      <c r="R9" s="5" t="s">
        <v>30</v>
      </c>
      <c r="S9" s="5" t="s">
        <v>31</v>
      </c>
      <c r="T9" s="5" t="s">
        <v>32</v>
      </c>
      <c r="U9" s="5" t="s">
        <v>33</v>
      </c>
      <c r="V9" s="5" t="s">
        <v>34</v>
      </c>
      <c r="W9" s="5" t="s">
        <v>35</v>
      </c>
      <c r="X9" s="5" t="s">
        <v>36</v>
      </c>
      <c r="Y9" s="5" t="s">
        <v>37</v>
      </c>
      <c r="Z9" s="5" t="s">
        <v>38</v>
      </c>
      <c r="AA9" s="5" t="s">
        <v>39</v>
      </c>
      <c r="AB9" s="5" t="s">
        <v>40</v>
      </c>
      <c r="AC9" s="5" t="s">
        <v>41</v>
      </c>
      <c r="AD9" s="5" t="s">
        <v>42</v>
      </c>
      <c r="AE9" s="5" t="s">
        <v>43</v>
      </c>
      <c r="AF9" s="5" t="s">
        <v>44</v>
      </c>
      <c r="AG9" s="5" t="s">
        <v>45</v>
      </c>
      <c r="AH9" s="5" t="s">
        <v>46</v>
      </c>
      <c r="AI9" s="36"/>
    </row>
    <row r="10" spans="1:35" ht="15" x14ac:dyDescent="0.25">
      <c r="A10" s="30"/>
      <c r="B10" s="6" t="s">
        <v>47</v>
      </c>
      <c r="C10" s="7" t="s">
        <v>48</v>
      </c>
      <c r="D10" s="7" t="s">
        <v>49</v>
      </c>
      <c r="E10" s="7" t="s">
        <v>50</v>
      </c>
      <c r="F10" s="7" t="s">
        <v>51</v>
      </c>
      <c r="G10" s="7" t="s">
        <v>52</v>
      </c>
      <c r="H10" s="7" t="s">
        <v>53</v>
      </c>
      <c r="I10" s="7" t="s">
        <v>54</v>
      </c>
      <c r="J10" s="7" t="s">
        <v>55</v>
      </c>
      <c r="K10" s="7" t="s">
        <v>56</v>
      </c>
      <c r="L10" s="7"/>
      <c r="M10" s="7"/>
      <c r="N10" s="7"/>
      <c r="O10" s="7"/>
      <c r="P10" s="7"/>
      <c r="Q10" s="7"/>
      <c r="R10" s="7" t="s">
        <v>57</v>
      </c>
      <c r="S10" s="7" t="s">
        <v>58</v>
      </c>
      <c r="T10" s="7" t="s">
        <v>59</v>
      </c>
      <c r="U10" s="7" t="s">
        <v>60</v>
      </c>
      <c r="V10" s="7" t="s">
        <v>61</v>
      </c>
      <c r="W10" s="7" t="s">
        <v>62</v>
      </c>
      <c r="X10" s="7" t="s">
        <v>63</v>
      </c>
      <c r="Y10" s="7" t="s">
        <v>64</v>
      </c>
      <c r="Z10" s="7" t="s">
        <v>65</v>
      </c>
      <c r="AA10" s="7" t="s">
        <v>66</v>
      </c>
      <c r="AB10" s="7" t="s">
        <v>67</v>
      </c>
      <c r="AC10" s="7" t="s">
        <v>68</v>
      </c>
      <c r="AD10" s="7" t="s">
        <v>69</v>
      </c>
      <c r="AE10" s="7" t="s">
        <v>70</v>
      </c>
      <c r="AF10" s="7" t="s">
        <v>71</v>
      </c>
      <c r="AG10" s="7" t="s">
        <v>72</v>
      </c>
      <c r="AH10" s="7" t="s">
        <v>73</v>
      </c>
      <c r="AI10" s="36"/>
    </row>
    <row r="11" spans="1:35" ht="15" x14ac:dyDescent="0.25">
      <c r="A11" s="31"/>
      <c r="B11" s="6" t="s">
        <v>74</v>
      </c>
      <c r="C11" s="7" t="s">
        <v>75</v>
      </c>
      <c r="D11" s="7" t="s">
        <v>76</v>
      </c>
      <c r="E11" s="7" t="s">
        <v>77</v>
      </c>
      <c r="F11" s="7" t="s">
        <v>78</v>
      </c>
      <c r="G11" s="7" t="s">
        <v>79</v>
      </c>
      <c r="H11" s="7" t="s">
        <v>80</v>
      </c>
      <c r="I11" s="7" t="s">
        <v>81</v>
      </c>
      <c r="J11" s="7" t="s">
        <v>82</v>
      </c>
      <c r="K11" s="7" t="s">
        <v>83</v>
      </c>
      <c r="L11" s="7"/>
      <c r="M11" s="7"/>
      <c r="N11" s="7"/>
      <c r="O11" s="7"/>
      <c r="P11" s="7"/>
      <c r="Q11" s="7"/>
      <c r="R11" s="7" t="s">
        <v>84</v>
      </c>
      <c r="S11" s="7" t="s">
        <v>85</v>
      </c>
      <c r="T11" s="7" t="s">
        <v>86</v>
      </c>
      <c r="U11" s="7" t="s">
        <v>87</v>
      </c>
      <c r="V11" s="7" t="s">
        <v>88</v>
      </c>
      <c r="W11" s="7" t="s">
        <v>89</v>
      </c>
      <c r="X11" s="7" t="s">
        <v>90</v>
      </c>
      <c r="Y11" s="7" t="s">
        <v>91</v>
      </c>
      <c r="Z11" s="7" t="s">
        <v>92</v>
      </c>
      <c r="AA11" s="7" t="s">
        <v>93</v>
      </c>
      <c r="AB11" s="7" t="s">
        <v>94</v>
      </c>
      <c r="AC11" s="7" t="s">
        <v>95</v>
      </c>
      <c r="AD11" s="7" t="s">
        <v>96</v>
      </c>
      <c r="AE11" s="7" t="s">
        <v>97</v>
      </c>
      <c r="AF11" s="7" t="s">
        <v>98</v>
      </c>
      <c r="AG11" s="7" t="s">
        <v>99</v>
      </c>
      <c r="AH11" s="7" t="s">
        <v>100</v>
      </c>
      <c r="AI11" s="37"/>
    </row>
    <row r="12" spans="1:35" ht="15.75" x14ac:dyDescent="0.2">
      <c r="A12" s="38">
        <f>DATE(N6,K6,1)</f>
        <v>46054</v>
      </c>
      <c r="B12" s="39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</row>
    <row r="13" spans="1:35" ht="15.75" x14ac:dyDescent="0.2">
      <c r="A13" s="38">
        <f>A12+1</f>
        <v>46055</v>
      </c>
      <c r="B13" s="39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</row>
    <row r="14" spans="1:35" ht="15.75" x14ac:dyDescent="0.2">
      <c r="A14" s="38">
        <f t="shared" ref="A14:A39" si="0">A13+1</f>
        <v>46056</v>
      </c>
      <c r="B14" s="39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</row>
    <row r="15" spans="1:35" ht="15.75" x14ac:dyDescent="0.2">
      <c r="A15" s="38">
        <f t="shared" si="0"/>
        <v>46057</v>
      </c>
      <c r="B15" s="39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</row>
    <row r="16" spans="1:35" ht="15.75" x14ac:dyDescent="0.2">
      <c r="A16" s="38">
        <f t="shared" si="0"/>
        <v>46058</v>
      </c>
      <c r="B16" s="39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</row>
    <row r="17" spans="1:35" ht="15.75" x14ac:dyDescent="0.2">
      <c r="A17" s="38">
        <f t="shared" si="0"/>
        <v>46059</v>
      </c>
      <c r="B17" s="39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</row>
    <row r="18" spans="1:35" ht="15.75" x14ac:dyDescent="0.2">
      <c r="A18" s="38">
        <f t="shared" si="0"/>
        <v>46060</v>
      </c>
      <c r="B18" s="39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</row>
    <row r="19" spans="1:35" ht="15.75" x14ac:dyDescent="0.2">
      <c r="A19" s="38">
        <f t="shared" si="0"/>
        <v>46061</v>
      </c>
      <c r="B19" s="39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</row>
    <row r="20" spans="1:35" ht="15.75" x14ac:dyDescent="0.2">
      <c r="A20" s="38">
        <f t="shared" si="0"/>
        <v>46062</v>
      </c>
      <c r="B20" s="39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</row>
    <row r="21" spans="1:35" ht="15.75" x14ac:dyDescent="0.2">
      <c r="A21" s="38">
        <f t="shared" si="0"/>
        <v>46063</v>
      </c>
      <c r="B21" s="39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</row>
    <row r="22" spans="1:35" ht="15.75" x14ac:dyDescent="0.2">
      <c r="A22" s="38">
        <f t="shared" si="0"/>
        <v>46064</v>
      </c>
      <c r="B22" s="39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</row>
    <row r="23" spans="1:35" ht="15.75" x14ac:dyDescent="0.2">
      <c r="A23" s="38">
        <f t="shared" si="0"/>
        <v>46065</v>
      </c>
      <c r="B23" s="39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</row>
    <row r="24" spans="1:35" ht="15.75" x14ac:dyDescent="0.2">
      <c r="A24" s="38">
        <f t="shared" si="0"/>
        <v>46066</v>
      </c>
      <c r="B24" s="39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</row>
    <row r="25" spans="1:35" ht="15.75" x14ac:dyDescent="0.2">
      <c r="A25" s="38">
        <f t="shared" si="0"/>
        <v>46067</v>
      </c>
      <c r="B25" s="39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</row>
    <row r="26" spans="1:35" ht="15.75" x14ac:dyDescent="0.2">
      <c r="A26" s="38">
        <f t="shared" si="0"/>
        <v>46068</v>
      </c>
      <c r="B26" s="39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</row>
    <row r="27" spans="1:35" ht="15.75" x14ac:dyDescent="0.2">
      <c r="A27" s="38">
        <f t="shared" si="0"/>
        <v>46069</v>
      </c>
      <c r="B27" s="39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</row>
    <row r="28" spans="1:35" ht="15.75" x14ac:dyDescent="0.2">
      <c r="A28" s="38">
        <f t="shared" si="0"/>
        <v>46070</v>
      </c>
      <c r="B28" s="39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</row>
    <row r="29" spans="1:35" ht="15.75" x14ac:dyDescent="0.2">
      <c r="A29" s="38">
        <f t="shared" si="0"/>
        <v>46071</v>
      </c>
      <c r="B29" s="39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</row>
    <row r="30" spans="1:35" ht="15.75" x14ac:dyDescent="0.2">
      <c r="A30" s="38">
        <f t="shared" si="0"/>
        <v>46072</v>
      </c>
      <c r="B30" s="39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</row>
    <row r="31" spans="1:35" ht="15.75" x14ac:dyDescent="0.2">
      <c r="A31" s="38">
        <f t="shared" si="0"/>
        <v>46073</v>
      </c>
      <c r="B31" s="39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</row>
    <row r="32" spans="1:35" ht="15.75" x14ac:dyDescent="0.2">
      <c r="A32" s="38">
        <f t="shared" si="0"/>
        <v>46074</v>
      </c>
      <c r="B32" s="39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</row>
    <row r="33" spans="1:35" ht="15.75" x14ac:dyDescent="0.2">
      <c r="A33" s="38">
        <f t="shared" si="0"/>
        <v>46075</v>
      </c>
      <c r="B33" s="39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</row>
    <row r="34" spans="1:35" ht="15.75" x14ac:dyDescent="0.2">
      <c r="A34" s="38">
        <f>A33+1</f>
        <v>46076</v>
      </c>
      <c r="B34" s="39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</row>
    <row r="35" spans="1:35" ht="15.75" x14ac:dyDescent="0.2">
      <c r="A35" s="38">
        <f t="shared" si="0"/>
        <v>46077</v>
      </c>
      <c r="B35" s="39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</row>
    <row r="36" spans="1:35" ht="15.75" x14ac:dyDescent="0.2">
      <c r="A36" s="38">
        <f t="shared" si="0"/>
        <v>46078</v>
      </c>
      <c r="B36" s="39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</row>
    <row r="37" spans="1:35" ht="15.75" x14ac:dyDescent="0.2">
      <c r="A37" s="38">
        <f t="shared" si="0"/>
        <v>46079</v>
      </c>
      <c r="B37" s="39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</row>
    <row r="38" spans="1:35" ht="15.75" x14ac:dyDescent="0.2">
      <c r="A38" s="38">
        <f t="shared" si="0"/>
        <v>46080</v>
      </c>
      <c r="B38" s="39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</row>
    <row r="39" spans="1:35" ht="15.75" x14ac:dyDescent="0.2">
      <c r="A39" s="38">
        <f t="shared" si="0"/>
        <v>46081</v>
      </c>
      <c r="B39" s="39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</row>
    <row r="40" spans="1:35" ht="15.75" x14ac:dyDescent="0.2">
      <c r="A40" s="38" t="str">
        <f>IF(A39="","",IF(A39=EOMONTH(DATE($N$6,$K$6,1),0),"",A39+1))</f>
        <v/>
      </c>
      <c r="B40" s="39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</row>
    <row r="41" spans="1:35" ht="15.75" x14ac:dyDescent="0.2">
      <c r="A41" s="38" t="str">
        <f>IF(A40="","",IF(A40=EOMONTH(DATE($N$6,$K$6,1),0),"",A40+1))</f>
        <v/>
      </c>
      <c r="B41" s="39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</row>
    <row r="42" spans="1:35" ht="15.75" x14ac:dyDescent="0.2">
      <c r="A42" s="38" t="str">
        <f>IF(A41="","",IF(A41=EOMONTH(DATE($N$6,$K$6,1),0),"",A41+1))</f>
        <v/>
      </c>
      <c r="B42" s="39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</row>
    <row r="43" spans="1:35" ht="13.5" x14ac:dyDescent="0.25">
      <c r="A43" s="9" t="s">
        <v>101</v>
      </c>
      <c r="B43" s="40" t="s">
        <v>102</v>
      </c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</row>
    <row r="44" spans="1:35" x14ac:dyDescent="0.2">
      <c r="A44" s="11"/>
      <c r="B44" s="10" t="s">
        <v>103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 t="s">
        <v>104</v>
      </c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AI4"/>
    <mergeCell ref="A5:AI5"/>
    <mergeCell ref="N6:O6"/>
    <mergeCell ref="A8:A11"/>
    <mergeCell ref="B8:P8"/>
    <mergeCell ref="AI8:AI11"/>
    <mergeCell ref="A1:A3"/>
    <mergeCell ref="B1:M3"/>
    <mergeCell ref="N1:AI1"/>
    <mergeCell ref="N2:P2"/>
    <mergeCell ref="Q2:AH2"/>
    <mergeCell ref="N3:P3"/>
    <mergeCell ref="Q3:AH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zoomScale="70" zoomScaleNormal="70" workbookViewId="0">
      <selection activeCell="D41" sqref="D41"/>
    </sheetView>
  </sheetViews>
  <sheetFormatPr defaultRowHeight="12.75" x14ac:dyDescent="0.2"/>
  <cols>
    <col min="1" max="2" width="23.5" bestFit="1" customWidth="1"/>
    <col min="3" max="3" width="37.83203125" bestFit="1" customWidth="1"/>
    <col min="4" max="4" width="38.6640625" bestFit="1" customWidth="1"/>
    <col min="5" max="5" width="37.5" bestFit="1" customWidth="1"/>
    <col min="6" max="6" width="32.33203125" bestFit="1" customWidth="1"/>
    <col min="7" max="7" width="43.6640625" bestFit="1" customWidth="1"/>
    <col min="8" max="8" width="32.33203125" bestFit="1" customWidth="1"/>
    <col min="9" max="9" width="44" bestFit="1" customWidth="1"/>
    <col min="10" max="10" width="41.6640625" bestFit="1" customWidth="1"/>
    <col min="11" max="11" width="32.83203125" bestFit="1" customWidth="1"/>
    <col min="12" max="12" width="6.33203125" bestFit="1" customWidth="1"/>
    <col min="13" max="13" width="7.5" bestFit="1" customWidth="1"/>
    <col min="14" max="14" width="6.33203125" bestFit="1" customWidth="1"/>
    <col min="15" max="15" width="15.1640625" bestFit="1" customWidth="1"/>
    <col min="16" max="17" width="6.33203125" bestFit="1" customWidth="1"/>
    <col min="18" max="19" width="44.1640625" bestFit="1" customWidth="1"/>
    <col min="20" max="20" width="25.6640625" bestFit="1" customWidth="1"/>
    <col min="21" max="21" width="26.33203125" bestFit="1" customWidth="1"/>
    <col min="22" max="22" width="37.83203125" bestFit="1" customWidth="1"/>
    <col min="23" max="27" width="26.33203125" bestFit="1" customWidth="1"/>
    <col min="28" max="28" width="46.6640625" bestFit="1" customWidth="1"/>
    <col min="29" max="29" width="44.1640625" bestFit="1" customWidth="1"/>
    <col min="30" max="31" width="45.33203125" bestFit="1" customWidth="1"/>
    <col min="32" max="33" width="44.6640625" bestFit="1" customWidth="1"/>
    <col min="34" max="34" width="20.6640625" bestFit="1" customWidth="1"/>
    <col min="35" max="35" width="14.6640625" bestFit="1" customWidth="1"/>
  </cols>
  <sheetData>
    <row r="1" spans="1:35" x14ac:dyDescent="0.2">
      <c r="A1" s="12" t="s">
        <v>0</v>
      </c>
      <c r="B1" s="13" t="s">
        <v>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5"/>
      <c r="N1" s="22" t="s">
        <v>2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4"/>
    </row>
    <row r="2" spans="1:35" x14ac:dyDescent="0.2">
      <c r="A2" s="12"/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  <c r="N2" s="22" t="s">
        <v>3</v>
      </c>
      <c r="O2" s="23"/>
      <c r="P2" s="24"/>
      <c r="Q2" s="22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1" t="s">
        <v>4</v>
      </c>
    </row>
    <row r="3" spans="1:35" x14ac:dyDescent="0.2">
      <c r="A3" s="12"/>
      <c r="B3" s="19"/>
      <c r="C3" s="20"/>
      <c r="D3" s="20"/>
      <c r="E3" s="20"/>
      <c r="F3" s="20"/>
      <c r="G3" s="20"/>
      <c r="H3" s="20"/>
      <c r="I3" s="20"/>
      <c r="J3" s="20"/>
      <c r="K3" s="20"/>
      <c r="L3" s="20"/>
      <c r="M3" s="21"/>
      <c r="N3" s="22" t="s">
        <v>5</v>
      </c>
      <c r="O3" s="23"/>
      <c r="P3" s="24"/>
      <c r="Q3" s="22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1" t="s">
        <v>6</v>
      </c>
    </row>
    <row r="4" spans="1:35" x14ac:dyDescent="0.2">
      <c r="A4" s="25" t="s">
        <v>7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7"/>
    </row>
    <row r="5" spans="1:35" ht="18.75" x14ac:dyDescent="0.2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</row>
    <row r="6" spans="1:35" ht="15.75" x14ac:dyDescent="0.25">
      <c r="A6" s="2" t="s">
        <v>8</v>
      </c>
      <c r="B6" s="3"/>
      <c r="C6" s="3"/>
      <c r="D6" s="3"/>
      <c r="E6" s="3"/>
      <c r="F6" s="3"/>
      <c r="G6" s="3"/>
      <c r="H6" s="3"/>
      <c r="I6" s="3"/>
      <c r="J6" s="3" t="s">
        <v>9</v>
      </c>
      <c r="K6" s="3">
        <v>3</v>
      </c>
      <c r="L6" s="3"/>
      <c r="M6" s="3" t="s">
        <v>10</v>
      </c>
      <c r="N6" s="29">
        <v>2026</v>
      </c>
      <c r="O6" s="29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30" t="s">
        <v>11</v>
      </c>
      <c r="B8" s="32" t="s">
        <v>12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35" t="s">
        <v>13</v>
      </c>
    </row>
    <row r="9" spans="1:35" x14ac:dyDescent="0.2">
      <c r="A9" s="30"/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23</v>
      </c>
      <c r="L9" s="5" t="s">
        <v>24</v>
      </c>
      <c r="M9" s="5" t="s">
        <v>25</v>
      </c>
      <c r="N9" s="5" t="s">
        <v>26</v>
      </c>
      <c r="O9" s="5" t="s">
        <v>27</v>
      </c>
      <c r="P9" s="5" t="s">
        <v>28</v>
      </c>
      <c r="Q9" s="5" t="s">
        <v>29</v>
      </c>
      <c r="R9" s="5" t="s">
        <v>30</v>
      </c>
      <c r="S9" s="5" t="s">
        <v>31</v>
      </c>
      <c r="T9" s="5" t="s">
        <v>32</v>
      </c>
      <c r="U9" s="5" t="s">
        <v>33</v>
      </c>
      <c r="V9" s="5" t="s">
        <v>34</v>
      </c>
      <c r="W9" s="5" t="s">
        <v>35</v>
      </c>
      <c r="X9" s="5" t="s">
        <v>36</v>
      </c>
      <c r="Y9" s="5" t="s">
        <v>37</v>
      </c>
      <c r="Z9" s="5" t="s">
        <v>38</v>
      </c>
      <c r="AA9" s="5" t="s">
        <v>39</v>
      </c>
      <c r="AB9" s="5" t="s">
        <v>40</v>
      </c>
      <c r="AC9" s="5" t="s">
        <v>41</v>
      </c>
      <c r="AD9" s="5" t="s">
        <v>42</v>
      </c>
      <c r="AE9" s="5" t="s">
        <v>43</v>
      </c>
      <c r="AF9" s="5" t="s">
        <v>44</v>
      </c>
      <c r="AG9" s="5" t="s">
        <v>45</v>
      </c>
      <c r="AH9" s="5" t="s">
        <v>46</v>
      </c>
      <c r="AI9" s="36"/>
    </row>
    <row r="10" spans="1:35" ht="15" x14ac:dyDescent="0.25">
      <c r="A10" s="30"/>
      <c r="B10" s="6" t="s">
        <v>47</v>
      </c>
      <c r="C10" s="7" t="s">
        <v>48</v>
      </c>
      <c r="D10" s="7" t="s">
        <v>49</v>
      </c>
      <c r="E10" s="7" t="s">
        <v>50</v>
      </c>
      <c r="F10" s="7" t="s">
        <v>51</v>
      </c>
      <c r="G10" s="7" t="s">
        <v>52</v>
      </c>
      <c r="H10" s="7" t="s">
        <v>53</v>
      </c>
      <c r="I10" s="7" t="s">
        <v>54</v>
      </c>
      <c r="J10" s="7" t="s">
        <v>55</v>
      </c>
      <c r="K10" s="7" t="s">
        <v>56</v>
      </c>
      <c r="L10" s="7"/>
      <c r="M10" s="7"/>
      <c r="N10" s="7"/>
      <c r="O10" s="7"/>
      <c r="P10" s="7"/>
      <c r="Q10" s="7"/>
      <c r="R10" s="7" t="s">
        <v>57</v>
      </c>
      <c r="S10" s="7" t="s">
        <v>58</v>
      </c>
      <c r="T10" s="7" t="s">
        <v>59</v>
      </c>
      <c r="U10" s="7" t="s">
        <v>60</v>
      </c>
      <c r="V10" s="7" t="s">
        <v>61</v>
      </c>
      <c r="W10" s="7" t="s">
        <v>62</v>
      </c>
      <c r="X10" s="7" t="s">
        <v>63</v>
      </c>
      <c r="Y10" s="7" t="s">
        <v>64</v>
      </c>
      <c r="Z10" s="7" t="s">
        <v>65</v>
      </c>
      <c r="AA10" s="7" t="s">
        <v>66</v>
      </c>
      <c r="AB10" s="7" t="s">
        <v>67</v>
      </c>
      <c r="AC10" s="7" t="s">
        <v>68</v>
      </c>
      <c r="AD10" s="7" t="s">
        <v>69</v>
      </c>
      <c r="AE10" s="7" t="s">
        <v>70</v>
      </c>
      <c r="AF10" s="7" t="s">
        <v>71</v>
      </c>
      <c r="AG10" s="7" t="s">
        <v>72</v>
      </c>
      <c r="AH10" s="7" t="s">
        <v>73</v>
      </c>
      <c r="AI10" s="36"/>
    </row>
    <row r="11" spans="1:35" ht="15" x14ac:dyDescent="0.25">
      <c r="A11" s="31"/>
      <c r="B11" s="6" t="s">
        <v>74</v>
      </c>
      <c r="C11" s="7" t="s">
        <v>75</v>
      </c>
      <c r="D11" s="7" t="s">
        <v>76</v>
      </c>
      <c r="E11" s="7" t="s">
        <v>77</v>
      </c>
      <c r="F11" s="7" t="s">
        <v>78</v>
      </c>
      <c r="G11" s="7" t="s">
        <v>79</v>
      </c>
      <c r="H11" s="7" t="s">
        <v>80</v>
      </c>
      <c r="I11" s="7" t="s">
        <v>81</v>
      </c>
      <c r="J11" s="7" t="s">
        <v>82</v>
      </c>
      <c r="K11" s="7" t="s">
        <v>83</v>
      </c>
      <c r="L11" s="7"/>
      <c r="M11" s="7"/>
      <c r="N11" s="7"/>
      <c r="O11" s="7"/>
      <c r="P11" s="7"/>
      <c r="Q11" s="7"/>
      <c r="R11" s="7" t="s">
        <v>84</v>
      </c>
      <c r="S11" s="7" t="s">
        <v>85</v>
      </c>
      <c r="T11" s="7" t="s">
        <v>86</v>
      </c>
      <c r="U11" s="7" t="s">
        <v>87</v>
      </c>
      <c r="V11" s="7" t="s">
        <v>88</v>
      </c>
      <c r="W11" s="7" t="s">
        <v>89</v>
      </c>
      <c r="X11" s="7" t="s">
        <v>90</v>
      </c>
      <c r="Y11" s="7" t="s">
        <v>91</v>
      </c>
      <c r="Z11" s="7" t="s">
        <v>92</v>
      </c>
      <c r="AA11" s="7" t="s">
        <v>93</v>
      </c>
      <c r="AB11" s="7" t="s">
        <v>94</v>
      </c>
      <c r="AC11" s="7" t="s">
        <v>95</v>
      </c>
      <c r="AD11" s="7" t="s">
        <v>96</v>
      </c>
      <c r="AE11" s="7" t="s">
        <v>97</v>
      </c>
      <c r="AF11" s="7" t="s">
        <v>98</v>
      </c>
      <c r="AG11" s="7" t="s">
        <v>99</v>
      </c>
      <c r="AH11" s="7" t="s">
        <v>100</v>
      </c>
      <c r="AI11" s="37"/>
    </row>
    <row r="12" spans="1:35" ht="15.75" x14ac:dyDescent="0.2">
      <c r="A12" s="38">
        <f>DATE(N6,K6,1)</f>
        <v>46082</v>
      </c>
      <c r="B12" s="39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</row>
    <row r="13" spans="1:35" ht="15.75" x14ac:dyDescent="0.2">
      <c r="A13" s="38">
        <f>A12+1</f>
        <v>46083</v>
      </c>
      <c r="B13" s="39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</row>
    <row r="14" spans="1:35" ht="15.75" x14ac:dyDescent="0.2">
      <c r="A14" s="38">
        <f t="shared" ref="A14:A39" si="0">A13+1</f>
        <v>46084</v>
      </c>
      <c r="B14" s="39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</row>
    <row r="15" spans="1:35" ht="15.75" x14ac:dyDescent="0.2">
      <c r="A15" s="38">
        <f t="shared" si="0"/>
        <v>46085</v>
      </c>
      <c r="B15" s="39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</row>
    <row r="16" spans="1:35" ht="15.75" x14ac:dyDescent="0.2">
      <c r="A16" s="38">
        <f t="shared" si="0"/>
        <v>46086</v>
      </c>
      <c r="B16" s="39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</row>
    <row r="17" spans="1:35" ht="15.75" x14ac:dyDescent="0.2">
      <c r="A17" s="38">
        <f t="shared" si="0"/>
        <v>46087</v>
      </c>
      <c r="B17" s="39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</row>
    <row r="18" spans="1:35" ht="15.75" x14ac:dyDescent="0.2">
      <c r="A18" s="38">
        <f t="shared" si="0"/>
        <v>46088</v>
      </c>
      <c r="B18" s="39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</row>
    <row r="19" spans="1:35" ht="15.75" x14ac:dyDescent="0.2">
      <c r="A19" s="38">
        <f t="shared" si="0"/>
        <v>46089</v>
      </c>
      <c r="B19" s="39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</row>
    <row r="20" spans="1:35" ht="15.75" x14ac:dyDescent="0.2">
      <c r="A20" s="38">
        <f t="shared" si="0"/>
        <v>46090</v>
      </c>
      <c r="B20" s="39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</row>
    <row r="21" spans="1:35" ht="15.75" x14ac:dyDescent="0.2">
      <c r="A21" s="38">
        <f t="shared" si="0"/>
        <v>46091</v>
      </c>
      <c r="B21" s="39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</row>
    <row r="22" spans="1:35" ht="15.75" x14ac:dyDescent="0.2">
      <c r="A22" s="38">
        <f t="shared" si="0"/>
        <v>46092</v>
      </c>
      <c r="B22" s="39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</row>
    <row r="23" spans="1:35" ht="15.75" x14ac:dyDescent="0.2">
      <c r="A23" s="38">
        <f t="shared" si="0"/>
        <v>46093</v>
      </c>
      <c r="B23" s="39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</row>
    <row r="24" spans="1:35" ht="15.75" x14ac:dyDescent="0.2">
      <c r="A24" s="38">
        <f t="shared" si="0"/>
        <v>46094</v>
      </c>
      <c r="B24" s="39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</row>
    <row r="25" spans="1:35" ht="15.75" x14ac:dyDescent="0.2">
      <c r="A25" s="38">
        <f t="shared" si="0"/>
        <v>46095</v>
      </c>
      <c r="B25" s="39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</row>
    <row r="26" spans="1:35" ht="15.75" x14ac:dyDescent="0.2">
      <c r="A26" s="38">
        <f t="shared" si="0"/>
        <v>46096</v>
      </c>
      <c r="B26" s="39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</row>
    <row r="27" spans="1:35" ht="15.75" x14ac:dyDescent="0.2">
      <c r="A27" s="38">
        <f t="shared" si="0"/>
        <v>46097</v>
      </c>
      <c r="B27" s="39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</row>
    <row r="28" spans="1:35" ht="15.75" x14ac:dyDescent="0.2">
      <c r="A28" s="38">
        <f t="shared" si="0"/>
        <v>46098</v>
      </c>
      <c r="B28" s="39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</row>
    <row r="29" spans="1:35" ht="15.75" x14ac:dyDescent="0.2">
      <c r="A29" s="38">
        <f t="shared" si="0"/>
        <v>46099</v>
      </c>
      <c r="B29" s="39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</row>
    <row r="30" spans="1:35" ht="15.75" x14ac:dyDescent="0.2">
      <c r="A30" s="38">
        <f t="shared" si="0"/>
        <v>46100</v>
      </c>
      <c r="B30" s="39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</row>
    <row r="31" spans="1:35" ht="15.75" x14ac:dyDescent="0.2">
      <c r="A31" s="38">
        <f t="shared" si="0"/>
        <v>46101</v>
      </c>
      <c r="B31" s="39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</row>
    <row r="32" spans="1:35" ht="15.75" x14ac:dyDescent="0.2">
      <c r="A32" s="38">
        <f t="shared" si="0"/>
        <v>46102</v>
      </c>
      <c r="B32" s="39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</row>
    <row r="33" spans="1:35" ht="15.75" x14ac:dyDescent="0.2">
      <c r="A33" s="38">
        <f t="shared" si="0"/>
        <v>46103</v>
      </c>
      <c r="B33" s="39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</row>
    <row r="34" spans="1:35" ht="15.75" x14ac:dyDescent="0.2">
      <c r="A34" s="38">
        <f>A33+1</f>
        <v>46104</v>
      </c>
      <c r="B34" s="39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</row>
    <row r="35" spans="1:35" ht="15.75" x14ac:dyDescent="0.2">
      <c r="A35" s="38">
        <f t="shared" si="0"/>
        <v>46105</v>
      </c>
      <c r="B35" s="39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</row>
    <row r="36" spans="1:35" ht="15.75" x14ac:dyDescent="0.2">
      <c r="A36" s="38">
        <f t="shared" si="0"/>
        <v>46106</v>
      </c>
      <c r="B36" s="39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</row>
    <row r="37" spans="1:35" ht="15.75" x14ac:dyDescent="0.2">
      <c r="A37" s="38">
        <f t="shared" si="0"/>
        <v>46107</v>
      </c>
      <c r="B37" s="39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</row>
    <row r="38" spans="1:35" ht="15.75" x14ac:dyDescent="0.2">
      <c r="A38" s="38">
        <f t="shared" si="0"/>
        <v>46108</v>
      </c>
      <c r="B38" s="39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</row>
    <row r="39" spans="1:35" ht="15.75" x14ac:dyDescent="0.2">
      <c r="A39" s="38">
        <f t="shared" si="0"/>
        <v>46109</v>
      </c>
      <c r="B39" s="39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</row>
    <row r="40" spans="1:35" ht="15.75" x14ac:dyDescent="0.2">
      <c r="A40" s="38">
        <f>IF(A39="","",IF(A39=EOMONTH(DATE($N$6,$K$6,1),0),"",A39+1))</f>
        <v>46110</v>
      </c>
      <c r="B40" s="39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</row>
    <row r="41" spans="1:35" ht="15.75" x14ac:dyDescent="0.2">
      <c r="A41" s="38">
        <f>IF(A40="","",IF(A40=EOMONTH(DATE($N$6,$K$6,1),0),"",A40+1))</f>
        <v>46111</v>
      </c>
      <c r="B41" s="39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</row>
    <row r="42" spans="1:35" ht="15.75" x14ac:dyDescent="0.2">
      <c r="A42" s="38">
        <f>IF(A41="","",IF(A41=EOMONTH(DATE($N$6,$K$6,1),0),"",A41+1))</f>
        <v>46112</v>
      </c>
      <c r="B42" s="39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</row>
    <row r="43" spans="1:35" ht="13.5" x14ac:dyDescent="0.25">
      <c r="A43" s="9" t="s">
        <v>101</v>
      </c>
      <c r="B43" s="40" t="s">
        <v>102</v>
      </c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</row>
    <row r="44" spans="1:35" x14ac:dyDescent="0.2">
      <c r="A44" s="11"/>
      <c r="B44" s="10" t="s">
        <v>103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 t="s">
        <v>104</v>
      </c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AI4"/>
    <mergeCell ref="A5:AI5"/>
    <mergeCell ref="N6:O6"/>
    <mergeCell ref="A8:A11"/>
    <mergeCell ref="B8:P8"/>
    <mergeCell ref="AI8:AI11"/>
    <mergeCell ref="A1:A3"/>
    <mergeCell ref="B1:M3"/>
    <mergeCell ref="N1:AI1"/>
    <mergeCell ref="N2:P2"/>
    <mergeCell ref="Q2:AH2"/>
    <mergeCell ref="N3:P3"/>
    <mergeCell ref="Q3:AH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5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tabSelected="1" zoomScale="70" zoomScaleNormal="70" workbookViewId="0">
      <selection activeCell="C31" sqref="C31"/>
    </sheetView>
  </sheetViews>
  <sheetFormatPr defaultRowHeight="12.75" x14ac:dyDescent="0.2"/>
  <cols>
    <col min="1" max="2" width="23.5" bestFit="1" customWidth="1"/>
    <col min="3" max="3" width="37.83203125" bestFit="1" customWidth="1"/>
    <col min="4" max="4" width="38.6640625" bestFit="1" customWidth="1"/>
    <col min="5" max="5" width="37.5" bestFit="1" customWidth="1"/>
    <col min="6" max="6" width="32.33203125" bestFit="1" customWidth="1"/>
    <col min="7" max="7" width="43.6640625" bestFit="1" customWidth="1"/>
    <col min="8" max="8" width="32.33203125" bestFit="1" customWidth="1"/>
    <col min="9" max="9" width="44" bestFit="1" customWidth="1"/>
    <col min="10" max="10" width="41.6640625" bestFit="1" customWidth="1"/>
    <col min="11" max="11" width="32.83203125" bestFit="1" customWidth="1"/>
    <col min="12" max="12" width="6.33203125" bestFit="1" customWidth="1"/>
    <col min="13" max="13" width="7.5" bestFit="1" customWidth="1"/>
    <col min="14" max="14" width="6.33203125" bestFit="1" customWidth="1"/>
    <col min="15" max="15" width="15.1640625" bestFit="1" customWidth="1"/>
    <col min="16" max="17" width="6.33203125" bestFit="1" customWidth="1"/>
    <col min="18" max="19" width="44.1640625" bestFit="1" customWidth="1"/>
    <col min="20" max="20" width="25.6640625" bestFit="1" customWidth="1"/>
    <col min="21" max="21" width="26.33203125" bestFit="1" customWidth="1"/>
    <col min="22" max="22" width="37.83203125" bestFit="1" customWidth="1"/>
    <col min="23" max="27" width="26.33203125" bestFit="1" customWidth="1"/>
    <col min="28" max="28" width="46.6640625" bestFit="1" customWidth="1"/>
    <col min="29" max="29" width="44.1640625" bestFit="1" customWidth="1"/>
    <col min="30" max="31" width="45.33203125" bestFit="1" customWidth="1"/>
    <col min="32" max="33" width="44.6640625" bestFit="1" customWidth="1"/>
    <col min="34" max="34" width="20.6640625" bestFit="1" customWidth="1"/>
    <col min="35" max="35" width="14.6640625" bestFit="1" customWidth="1"/>
  </cols>
  <sheetData>
    <row r="1" spans="1:35" x14ac:dyDescent="0.2">
      <c r="A1" s="12" t="s">
        <v>0</v>
      </c>
      <c r="B1" s="13" t="s">
        <v>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5"/>
      <c r="N1" s="22" t="s">
        <v>2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4"/>
    </row>
    <row r="2" spans="1:35" x14ac:dyDescent="0.2">
      <c r="A2" s="12"/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  <c r="N2" s="22" t="s">
        <v>3</v>
      </c>
      <c r="O2" s="23"/>
      <c r="P2" s="24"/>
      <c r="Q2" s="22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1" t="s">
        <v>4</v>
      </c>
    </row>
    <row r="3" spans="1:35" x14ac:dyDescent="0.2">
      <c r="A3" s="12"/>
      <c r="B3" s="19"/>
      <c r="C3" s="20"/>
      <c r="D3" s="20"/>
      <c r="E3" s="20"/>
      <c r="F3" s="20"/>
      <c r="G3" s="20"/>
      <c r="H3" s="20"/>
      <c r="I3" s="20"/>
      <c r="J3" s="20"/>
      <c r="K3" s="20"/>
      <c r="L3" s="20"/>
      <c r="M3" s="21"/>
      <c r="N3" s="22" t="s">
        <v>5</v>
      </c>
      <c r="O3" s="23"/>
      <c r="P3" s="24"/>
      <c r="Q3" s="22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1" t="s">
        <v>6</v>
      </c>
    </row>
    <row r="4" spans="1:35" x14ac:dyDescent="0.2">
      <c r="A4" s="25" t="s">
        <v>7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7"/>
    </row>
    <row r="5" spans="1:35" ht="18.75" x14ac:dyDescent="0.2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</row>
    <row r="6" spans="1:35" ht="15.75" x14ac:dyDescent="0.25">
      <c r="A6" s="2" t="s">
        <v>8</v>
      </c>
      <c r="B6" s="3"/>
      <c r="C6" s="3"/>
      <c r="D6" s="3"/>
      <c r="E6" s="3"/>
      <c r="F6" s="3"/>
      <c r="G6" s="3"/>
      <c r="H6" s="3"/>
      <c r="I6" s="3"/>
      <c r="J6" s="3" t="s">
        <v>9</v>
      </c>
      <c r="K6" s="3">
        <v>4</v>
      </c>
      <c r="L6" s="3"/>
      <c r="M6" s="3" t="s">
        <v>10</v>
      </c>
      <c r="N6" s="29">
        <v>2026</v>
      </c>
      <c r="O6" s="29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30" t="s">
        <v>11</v>
      </c>
      <c r="B8" s="32" t="s">
        <v>12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35" t="s">
        <v>13</v>
      </c>
    </row>
    <row r="9" spans="1:35" x14ac:dyDescent="0.2">
      <c r="A9" s="30"/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23</v>
      </c>
      <c r="L9" s="5" t="s">
        <v>24</v>
      </c>
      <c r="M9" s="5" t="s">
        <v>25</v>
      </c>
      <c r="N9" s="5" t="s">
        <v>26</v>
      </c>
      <c r="O9" s="5" t="s">
        <v>27</v>
      </c>
      <c r="P9" s="5" t="s">
        <v>28</v>
      </c>
      <c r="Q9" s="5" t="s">
        <v>29</v>
      </c>
      <c r="R9" s="5" t="s">
        <v>30</v>
      </c>
      <c r="S9" s="5" t="s">
        <v>31</v>
      </c>
      <c r="T9" s="5" t="s">
        <v>32</v>
      </c>
      <c r="U9" s="5" t="s">
        <v>33</v>
      </c>
      <c r="V9" s="5" t="s">
        <v>34</v>
      </c>
      <c r="W9" s="5" t="s">
        <v>35</v>
      </c>
      <c r="X9" s="5" t="s">
        <v>36</v>
      </c>
      <c r="Y9" s="5" t="s">
        <v>37</v>
      </c>
      <c r="Z9" s="5" t="s">
        <v>38</v>
      </c>
      <c r="AA9" s="5" t="s">
        <v>39</v>
      </c>
      <c r="AB9" s="5" t="s">
        <v>40</v>
      </c>
      <c r="AC9" s="5" t="s">
        <v>41</v>
      </c>
      <c r="AD9" s="5" t="s">
        <v>42</v>
      </c>
      <c r="AE9" s="5" t="s">
        <v>43</v>
      </c>
      <c r="AF9" s="5" t="s">
        <v>44</v>
      </c>
      <c r="AG9" s="5" t="s">
        <v>45</v>
      </c>
      <c r="AH9" s="5" t="s">
        <v>46</v>
      </c>
      <c r="AI9" s="36"/>
    </row>
    <row r="10" spans="1:35" ht="15" x14ac:dyDescent="0.25">
      <c r="A10" s="30"/>
      <c r="B10" s="6" t="s">
        <v>47</v>
      </c>
      <c r="C10" s="7" t="s">
        <v>48</v>
      </c>
      <c r="D10" s="7" t="s">
        <v>49</v>
      </c>
      <c r="E10" s="7" t="s">
        <v>50</v>
      </c>
      <c r="F10" s="7" t="s">
        <v>51</v>
      </c>
      <c r="G10" s="7" t="s">
        <v>52</v>
      </c>
      <c r="H10" s="7" t="s">
        <v>53</v>
      </c>
      <c r="I10" s="7" t="s">
        <v>54</v>
      </c>
      <c r="J10" s="7" t="s">
        <v>55</v>
      </c>
      <c r="K10" s="7" t="s">
        <v>56</v>
      </c>
      <c r="L10" s="7"/>
      <c r="M10" s="7"/>
      <c r="N10" s="7"/>
      <c r="O10" s="7"/>
      <c r="P10" s="7"/>
      <c r="Q10" s="7"/>
      <c r="R10" s="7" t="s">
        <v>57</v>
      </c>
      <c r="S10" s="7" t="s">
        <v>58</v>
      </c>
      <c r="T10" s="7" t="s">
        <v>59</v>
      </c>
      <c r="U10" s="7" t="s">
        <v>60</v>
      </c>
      <c r="V10" s="7" t="s">
        <v>61</v>
      </c>
      <c r="W10" s="7" t="s">
        <v>62</v>
      </c>
      <c r="X10" s="7" t="s">
        <v>63</v>
      </c>
      <c r="Y10" s="7" t="s">
        <v>64</v>
      </c>
      <c r="Z10" s="7" t="s">
        <v>65</v>
      </c>
      <c r="AA10" s="7" t="s">
        <v>66</v>
      </c>
      <c r="AB10" s="7" t="s">
        <v>67</v>
      </c>
      <c r="AC10" s="7" t="s">
        <v>68</v>
      </c>
      <c r="AD10" s="7" t="s">
        <v>69</v>
      </c>
      <c r="AE10" s="7" t="s">
        <v>70</v>
      </c>
      <c r="AF10" s="7" t="s">
        <v>71</v>
      </c>
      <c r="AG10" s="7" t="s">
        <v>72</v>
      </c>
      <c r="AH10" s="7" t="s">
        <v>73</v>
      </c>
      <c r="AI10" s="36"/>
    </row>
    <row r="11" spans="1:35" ht="15" x14ac:dyDescent="0.25">
      <c r="A11" s="31"/>
      <c r="B11" s="6" t="s">
        <v>74</v>
      </c>
      <c r="C11" s="7" t="s">
        <v>75</v>
      </c>
      <c r="D11" s="7" t="s">
        <v>76</v>
      </c>
      <c r="E11" s="7" t="s">
        <v>77</v>
      </c>
      <c r="F11" s="7" t="s">
        <v>78</v>
      </c>
      <c r="G11" s="7" t="s">
        <v>79</v>
      </c>
      <c r="H11" s="7" t="s">
        <v>80</v>
      </c>
      <c r="I11" s="7" t="s">
        <v>81</v>
      </c>
      <c r="J11" s="7" t="s">
        <v>82</v>
      </c>
      <c r="K11" s="7" t="s">
        <v>83</v>
      </c>
      <c r="L11" s="7"/>
      <c r="M11" s="7"/>
      <c r="N11" s="7"/>
      <c r="O11" s="7"/>
      <c r="P11" s="7"/>
      <c r="Q11" s="7"/>
      <c r="R11" s="7" t="s">
        <v>84</v>
      </c>
      <c r="S11" s="7" t="s">
        <v>85</v>
      </c>
      <c r="T11" s="7" t="s">
        <v>86</v>
      </c>
      <c r="U11" s="7" t="s">
        <v>87</v>
      </c>
      <c r="V11" s="7" t="s">
        <v>88</v>
      </c>
      <c r="W11" s="7" t="s">
        <v>89</v>
      </c>
      <c r="X11" s="7" t="s">
        <v>90</v>
      </c>
      <c r="Y11" s="7" t="s">
        <v>91</v>
      </c>
      <c r="Z11" s="7" t="s">
        <v>92</v>
      </c>
      <c r="AA11" s="7" t="s">
        <v>93</v>
      </c>
      <c r="AB11" s="7" t="s">
        <v>94</v>
      </c>
      <c r="AC11" s="7" t="s">
        <v>95</v>
      </c>
      <c r="AD11" s="7" t="s">
        <v>96</v>
      </c>
      <c r="AE11" s="7" t="s">
        <v>97</v>
      </c>
      <c r="AF11" s="7" t="s">
        <v>98</v>
      </c>
      <c r="AG11" s="7" t="s">
        <v>99</v>
      </c>
      <c r="AH11" s="7" t="s">
        <v>100</v>
      </c>
      <c r="AI11" s="37"/>
    </row>
    <row r="12" spans="1:35" ht="15.75" x14ac:dyDescent="0.2">
      <c r="A12" s="38">
        <f>DATE(N6,K6,1)</f>
        <v>46113</v>
      </c>
      <c r="B12" s="39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</row>
    <row r="13" spans="1:35" ht="15.75" x14ac:dyDescent="0.2">
      <c r="A13" s="38">
        <f>A12+1</f>
        <v>46114</v>
      </c>
      <c r="B13" s="39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</row>
    <row r="14" spans="1:35" ht="15.75" x14ac:dyDescent="0.2">
      <c r="A14" s="38">
        <f t="shared" ref="A14:A39" si="0">A13+1</f>
        <v>46115</v>
      </c>
      <c r="B14" s="39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</row>
    <row r="15" spans="1:35" ht="15.75" x14ac:dyDescent="0.2">
      <c r="A15" s="38">
        <f t="shared" si="0"/>
        <v>46116</v>
      </c>
      <c r="B15" s="39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</row>
    <row r="16" spans="1:35" ht="15.75" x14ac:dyDescent="0.2">
      <c r="A16" s="38">
        <f t="shared" si="0"/>
        <v>46117</v>
      </c>
      <c r="B16" s="39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</row>
    <row r="17" spans="1:35" ht="15.75" x14ac:dyDescent="0.2">
      <c r="A17" s="38">
        <f t="shared" si="0"/>
        <v>46118</v>
      </c>
      <c r="B17" s="39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</row>
    <row r="18" spans="1:35" ht="15.75" x14ac:dyDescent="0.2">
      <c r="A18" s="38">
        <f t="shared" si="0"/>
        <v>46119</v>
      </c>
      <c r="B18" s="39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</row>
    <row r="19" spans="1:35" ht="15.75" x14ac:dyDescent="0.2">
      <c r="A19" s="38">
        <f t="shared" si="0"/>
        <v>46120</v>
      </c>
      <c r="B19" s="39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</row>
    <row r="20" spans="1:35" ht="15.75" x14ac:dyDescent="0.2">
      <c r="A20" s="38">
        <f t="shared" si="0"/>
        <v>46121</v>
      </c>
      <c r="B20" s="39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</row>
    <row r="21" spans="1:35" ht="15.75" x14ac:dyDescent="0.2">
      <c r="A21" s="38">
        <f t="shared" si="0"/>
        <v>46122</v>
      </c>
      <c r="B21" s="39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</row>
    <row r="22" spans="1:35" ht="15.75" x14ac:dyDescent="0.2">
      <c r="A22" s="38">
        <f t="shared" si="0"/>
        <v>46123</v>
      </c>
      <c r="B22" s="39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</row>
    <row r="23" spans="1:35" ht="15.75" x14ac:dyDescent="0.2">
      <c r="A23" s="38">
        <f t="shared" si="0"/>
        <v>46124</v>
      </c>
      <c r="B23" s="39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</row>
    <row r="24" spans="1:35" ht="15.75" x14ac:dyDescent="0.2">
      <c r="A24" s="38">
        <f t="shared" si="0"/>
        <v>46125</v>
      </c>
      <c r="B24" s="39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</row>
    <row r="25" spans="1:35" ht="15.75" x14ac:dyDescent="0.2">
      <c r="A25" s="38">
        <f t="shared" si="0"/>
        <v>46126</v>
      </c>
      <c r="B25" s="39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</row>
    <row r="26" spans="1:35" ht="15.75" x14ac:dyDescent="0.2">
      <c r="A26" s="38">
        <f t="shared" si="0"/>
        <v>46127</v>
      </c>
      <c r="B26" s="39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</row>
    <row r="27" spans="1:35" ht="15.75" x14ac:dyDescent="0.2">
      <c r="A27" s="38">
        <f t="shared" si="0"/>
        <v>46128</v>
      </c>
      <c r="B27" s="39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</row>
    <row r="28" spans="1:35" ht="15.75" x14ac:dyDescent="0.2">
      <c r="A28" s="38">
        <f t="shared" si="0"/>
        <v>46129</v>
      </c>
      <c r="B28" s="39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</row>
    <row r="29" spans="1:35" ht="15.75" x14ac:dyDescent="0.2">
      <c r="A29" s="38">
        <f t="shared" si="0"/>
        <v>46130</v>
      </c>
      <c r="B29" s="39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</row>
    <row r="30" spans="1:35" ht="15.75" x14ac:dyDescent="0.2">
      <c r="A30" s="38">
        <f t="shared" si="0"/>
        <v>46131</v>
      </c>
      <c r="B30" s="39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</row>
    <row r="31" spans="1:35" ht="15.75" x14ac:dyDescent="0.2">
      <c r="A31" s="38">
        <f t="shared" si="0"/>
        <v>46132</v>
      </c>
      <c r="B31" s="39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</row>
    <row r="32" spans="1:35" ht="15.75" x14ac:dyDescent="0.2">
      <c r="A32" s="38">
        <f t="shared" si="0"/>
        <v>46133</v>
      </c>
      <c r="B32" s="39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</row>
    <row r="33" spans="1:35" ht="15.75" x14ac:dyDescent="0.2">
      <c r="A33" s="38">
        <f t="shared" si="0"/>
        <v>46134</v>
      </c>
      <c r="B33" s="39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</row>
    <row r="34" spans="1:35" ht="15.75" x14ac:dyDescent="0.2">
      <c r="A34" s="38">
        <f>A33+1</f>
        <v>46135</v>
      </c>
      <c r="B34" s="39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</row>
    <row r="35" spans="1:35" ht="15.75" x14ac:dyDescent="0.2">
      <c r="A35" s="38">
        <f t="shared" si="0"/>
        <v>46136</v>
      </c>
      <c r="B35" s="39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</row>
    <row r="36" spans="1:35" ht="15.75" x14ac:dyDescent="0.2">
      <c r="A36" s="38">
        <f t="shared" si="0"/>
        <v>46137</v>
      </c>
      <c r="B36" s="39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</row>
    <row r="37" spans="1:35" ht="15.75" x14ac:dyDescent="0.2">
      <c r="A37" s="38">
        <f t="shared" si="0"/>
        <v>46138</v>
      </c>
      <c r="B37" s="39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</row>
    <row r="38" spans="1:35" ht="15.75" x14ac:dyDescent="0.2">
      <c r="A38" s="38">
        <f t="shared" si="0"/>
        <v>46139</v>
      </c>
      <c r="B38" s="39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</row>
    <row r="39" spans="1:35" ht="15.75" x14ac:dyDescent="0.2">
      <c r="A39" s="38">
        <f t="shared" si="0"/>
        <v>46140</v>
      </c>
      <c r="B39" s="39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</row>
    <row r="40" spans="1:35" ht="15.75" x14ac:dyDescent="0.2">
      <c r="A40" s="38">
        <f>IF(A39="","",IF(A39=EOMONTH(DATE($N$6,$K$6,1),0),"",A39+1))</f>
        <v>46141</v>
      </c>
      <c r="B40" s="39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</row>
    <row r="41" spans="1:35" ht="15.75" x14ac:dyDescent="0.2">
      <c r="A41" s="38">
        <f>IF(A40="","",IF(A40=EOMONTH(DATE($N$6,$K$6,1),0),"",A40+1))</f>
        <v>46142</v>
      </c>
      <c r="B41" s="39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</row>
    <row r="42" spans="1:35" ht="15.75" x14ac:dyDescent="0.2">
      <c r="A42" s="38" t="str">
        <f>IF(A41="","",IF(A41=EOMONTH(DATE($N$6,$K$6,1),0),"",A41+1))</f>
        <v/>
      </c>
      <c r="B42" s="39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</row>
    <row r="43" spans="1:35" ht="13.5" x14ac:dyDescent="0.25">
      <c r="A43" s="9" t="s">
        <v>101</v>
      </c>
      <c r="B43" s="40" t="s">
        <v>102</v>
      </c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</row>
    <row r="44" spans="1:35" x14ac:dyDescent="0.2">
      <c r="A44" s="11"/>
      <c r="B44" s="10" t="s">
        <v>103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 t="s">
        <v>104</v>
      </c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AI4"/>
    <mergeCell ref="A5:AI5"/>
    <mergeCell ref="N6:O6"/>
    <mergeCell ref="A8:A11"/>
    <mergeCell ref="B8:P8"/>
    <mergeCell ref="AI8:AI11"/>
    <mergeCell ref="A1:A3"/>
    <mergeCell ref="B1:M3"/>
    <mergeCell ref="N1:AI1"/>
    <mergeCell ref="N2:P2"/>
    <mergeCell ref="Q2:AH2"/>
    <mergeCell ref="N3:P3"/>
    <mergeCell ref="Q3:AH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9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zoomScale="70" zoomScaleNormal="70" workbookViewId="0">
      <selection activeCell="G24" sqref="G24"/>
    </sheetView>
  </sheetViews>
  <sheetFormatPr defaultColWidth="20.5" defaultRowHeight="12.75" x14ac:dyDescent="0.2"/>
  <cols>
    <col min="1" max="2" width="23.5" bestFit="1" customWidth="1"/>
    <col min="3" max="3" width="37.83203125" bestFit="1" customWidth="1"/>
    <col min="4" max="4" width="38.6640625" bestFit="1" customWidth="1"/>
    <col min="5" max="5" width="37.5" bestFit="1" customWidth="1"/>
    <col min="6" max="6" width="32.33203125" bestFit="1" customWidth="1"/>
    <col min="7" max="7" width="43.6640625" bestFit="1" customWidth="1"/>
    <col min="8" max="8" width="32.33203125" bestFit="1" customWidth="1"/>
    <col min="9" max="9" width="44" bestFit="1" customWidth="1"/>
    <col min="10" max="10" width="41.6640625" bestFit="1" customWidth="1"/>
    <col min="11" max="11" width="32.83203125" bestFit="1" customWidth="1"/>
    <col min="12" max="12" width="6.33203125" bestFit="1" customWidth="1"/>
    <col min="13" max="13" width="7.5" bestFit="1" customWidth="1"/>
    <col min="14" max="14" width="6.33203125" bestFit="1" customWidth="1"/>
    <col min="15" max="15" width="15.1640625" bestFit="1" customWidth="1"/>
    <col min="16" max="17" width="6.33203125" bestFit="1" customWidth="1"/>
    <col min="18" max="19" width="44.1640625" bestFit="1" customWidth="1"/>
    <col min="20" max="20" width="25.6640625" bestFit="1" customWidth="1"/>
    <col min="21" max="21" width="26.33203125" bestFit="1" customWidth="1"/>
    <col min="22" max="22" width="37.83203125" bestFit="1" customWidth="1"/>
    <col min="23" max="27" width="26.33203125" bestFit="1" customWidth="1"/>
    <col min="28" max="28" width="46.6640625" bestFit="1" customWidth="1"/>
    <col min="29" max="29" width="44.1640625" bestFit="1" customWidth="1"/>
    <col min="30" max="31" width="45.33203125" bestFit="1" customWidth="1"/>
    <col min="32" max="33" width="44.6640625" bestFit="1" customWidth="1"/>
    <col min="34" max="34" width="20.6640625" bestFit="1" customWidth="1"/>
    <col min="35" max="35" width="14.6640625" bestFit="1" customWidth="1"/>
  </cols>
  <sheetData>
    <row r="1" spans="1:35" x14ac:dyDescent="0.2">
      <c r="A1" s="12" t="s">
        <v>0</v>
      </c>
      <c r="B1" s="13" t="s">
        <v>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5"/>
      <c r="N1" s="22" t="s">
        <v>2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4"/>
    </row>
    <row r="2" spans="1:35" x14ac:dyDescent="0.2">
      <c r="A2" s="12"/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  <c r="N2" s="22" t="s">
        <v>3</v>
      </c>
      <c r="O2" s="23"/>
      <c r="P2" s="24"/>
      <c r="Q2" s="22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1" t="s">
        <v>4</v>
      </c>
    </row>
    <row r="3" spans="1:35" x14ac:dyDescent="0.2">
      <c r="A3" s="12"/>
      <c r="B3" s="19"/>
      <c r="C3" s="20"/>
      <c r="D3" s="20"/>
      <c r="E3" s="20"/>
      <c r="F3" s="20"/>
      <c r="G3" s="20"/>
      <c r="H3" s="20"/>
      <c r="I3" s="20"/>
      <c r="J3" s="20"/>
      <c r="K3" s="20"/>
      <c r="L3" s="20"/>
      <c r="M3" s="21"/>
      <c r="N3" s="22" t="s">
        <v>5</v>
      </c>
      <c r="O3" s="23"/>
      <c r="P3" s="24"/>
      <c r="Q3" s="22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1" t="s">
        <v>6</v>
      </c>
    </row>
    <row r="4" spans="1:35" x14ac:dyDescent="0.2">
      <c r="A4" s="25" t="s">
        <v>7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7"/>
    </row>
    <row r="5" spans="1:35" ht="18.75" x14ac:dyDescent="0.2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</row>
    <row r="6" spans="1:35" ht="15.75" x14ac:dyDescent="0.25">
      <c r="A6" s="2" t="s">
        <v>8</v>
      </c>
      <c r="B6" s="3"/>
      <c r="C6" s="3"/>
      <c r="D6" s="3"/>
      <c r="E6" s="3"/>
      <c r="F6" s="3"/>
      <c r="G6" s="3"/>
      <c r="H6" s="3"/>
      <c r="I6" s="3"/>
      <c r="J6" s="3" t="s">
        <v>9</v>
      </c>
      <c r="K6" s="3">
        <v>5</v>
      </c>
      <c r="L6" s="3"/>
      <c r="M6" s="3" t="s">
        <v>10</v>
      </c>
      <c r="N6" s="29">
        <v>2026</v>
      </c>
      <c r="O6" s="29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30" t="s">
        <v>11</v>
      </c>
      <c r="B8" s="32" t="s">
        <v>12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35" t="s">
        <v>13</v>
      </c>
    </row>
    <row r="9" spans="1:35" x14ac:dyDescent="0.2">
      <c r="A9" s="30"/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23</v>
      </c>
      <c r="L9" s="5" t="s">
        <v>24</v>
      </c>
      <c r="M9" s="5" t="s">
        <v>25</v>
      </c>
      <c r="N9" s="5" t="s">
        <v>26</v>
      </c>
      <c r="O9" s="5" t="s">
        <v>27</v>
      </c>
      <c r="P9" s="5" t="s">
        <v>28</v>
      </c>
      <c r="Q9" s="5" t="s">
        <v>29</v>
      </c>
      <c r="R9" s="5" t="s">
        <v>30</v>
      </c>
      <c r="S9" s="5" t="s">
        <v>31</v>
      </c>
      <c r="T9" s="5" t="s">
        <v>32</v>
      </c>
      <c r="U9" s="5" t="s">
        <v>33</v>
      </c>
      <c r="V9" s="5" t="s">
        <v>34</v>
      </c>
      <c r="W9" s="5" t="s">
        <v>35</v>
      </c>
      <c r="X9" s="5" t="s">
        <v>36</v>
      </c>
      <c r="Y9" s="5" t="s">
        <v>37</v>
      </c>
      <c r="Z9" s="5" t="s">
        <v>38</v>
      </c>
      <c r="AA9" s="5" t="s">
        <v>39</v>
      </c>
      <c r="AB9" s="5" t="s">
        <v>40</v>
      </c>
      <c r="AC9" s="5" t="s">
        <v>41</v>
      </c>
      <c r="AD9" s="5" t="s">
        <v>42</v>
      </c>
      <c r="AE9" s="5" t="s">
        <v>43</v>
      </c>
      <c r="AF9" s="5" t="s">
        <v>44</v>
      </c>
      <c r="AG9" s="5" t="s">
        <v>45</v>
      </c>
      <c r="AH9" s="5" t="s">
        <v>46</v>
      </c>
      <c r="AI9" s="36"/>
    </row>
    <row r="10" spans="1:35" ht="15" x14ac:dyDescent="0.25">
      <c r="A10" s="30"/>
      <c r="B10" s="6" t="s">
        <v>47</v>
      </c>
      <c r="C10" s="7" t="s">
        <v>48</v>
      </c>
      <c r="D10" s="7" t="s">
        <v>49</v>
      </c>
      <c r="E10" s="7" t="s">
        <v>50</v>
      </c>
      <c r="F10" s="7" t="s">
        <v>51</v>
      </c>
      <c r="G10" s="7" t="s">
        <v>52</v>
      </c>
      <c r="H10" s="7" t="s">
        <v>53</v>
      </c>
      <c r="I10" s="7" t="s">
        <v>54</v>
      </c>
      <c r="J10" s="7" t="s">
        <v>55</v>
      </c>
      <c r="K10" s="7" t="s">
        <v>56</v>
      </c>
      <c r="L10" s="7"/>
      <c r="M10" s="7"/>
      <c r="N10" s="7"/>
      <c r="O10" s="7"/>
      <c r="P10" s="7"/>
      <c r="Q10" s="7"/>
      <c r="R10" s="7" t="s">
        <v>57</v>
      </c>
      <c r="S10" s="7" t="s">
        <v>58</v>
      </c>
      <c r="T10" s="7" t="s">
        <v>59</v>
      </c>
      <c r="U10" s="7" t="s">
        <v>60</v>
      </c>
      <c r="V10" s="7" t="s">
        <v>61</v>
      </c>
      <c r="W10" s="7" t="s">
        <v>62</v>
      </c>
      <c r="X10" s="7" t="s">
        <v>63</v>
      </c>
      <c r="Y10" s="7" t="s">
        <v>64</v>
      </c>
      <c r="Z10" s="7" t="s">
        <v>65</v>
      </c>
      <c r="AA10" s="7" t="s">
        <v>66</v>
      </c>
      <c r="AB10" s="7" t="s">
        <v>67</v>
      </c>
      <c r="AC10" s="7" t="s">
        <v>68</v>
      </c>
      <c r="AD10" s="7" t="s">
        <v>69</v>
      </c>
      <c r="AE10" s="7" t="s">
        <v>70</v>
      </c>
      <c r="AF10" s="7" t="s">
        <v>71</v>
      </c>
      <c r="AG10" s="7" t="s">
        <v>72</v>
      </c>
      <c r="AH10" s="7" t="s">
        <v>73</v>
      </c>
      <c r="AI10" s="36"/>
    </row>
    <row r="11" spans="1:35" ht="15" x14ac:dyDescent="0.25">
      <c r="A11" s="31"/>
      <c r="B11" s="6" t="s">
        <v>74</v>
      </c>
      <c r="C11" s="7" t="s">
        <v>75</v>
      </c>
      <c r="D11" s="7" t="s">
        <v>76</v>
      </c>
      <c r="E11" s="7" t="s">
        <v>77</v>
      </c>
      <c r="F11" s="7" t="s">
        <v>78</v>
      </c>
      <c r="G11" s="7" t="s">
        <v>79</v>
      </c>
      <c r="H11" s="7" t="s">
        <v>80</v>
      </c>
      <c r="I11" s="7" t="s">
        <v>81</v>
      </c>
      <c r="J11" s="7" t="s">
        <v>82</v>
      </c>
      <c r="K11" s="7" t="s">
        <v>83</v>
      </c>
      <c r="L11" s="7"/>
      <c r="M11" s="7"/>
      <c r="N11" s="7"/>
      <c r="O11" s="7"/>
      <c r="P11" s="7"/>
      <c r="Q11" s="7"/>
      <c r="R11" s="7" t="s">
        <v>84</v>
      </c>
      <c r="S11" s="7" t="s">
        <v>85</v>
      </c>
      <c r="T11" s="7" t="s">
        <v>86</v>
      </c>
      <c r="U11" s="7" t="s">
        <v>87</v>
      </c>
      <c r="V11" s="7" t="s">
        <v>88</v>
      </c>
      <c r="W11" s="7" t="s">
        <v>89</v>
      </c>
      <c r="X11" s="7" t="s">
        <v>90</v>
      </c>
      <c r="Y11" s="7" t="s">
        <v>91</v>
      </c>
      <c r="Z11" s="7" t="s">
        <v>92</v>
      </c>
      <c r="AA11" s="7" t="s">
        <v>93</v>
      </c>
      <c r="AB11" s="7" t="s">
        <v>94</v>
      </c>
      <c r="AC11" s="7" t="s">
        <v>95</v>
      </c>
      <c r="AD11" s="7" t="s">
        <v>96</v>
      </c>
      <c r="AE11" s="7" t="s">
        <v>97</v>
      </c>
      <c r="AF11" s="7" t="s">
        <v>98</v>
      </c>
      <c r="AG11" s="7" t="s">
        <v>99</v>
      </c>
      <c r="AH11" s="7" t="s">
        <v>100</v>
      </c>
      <c r="AI11" s="37"/>
    </row>
    <row r="12" spans="1:35" ht="15.75" x14ac:dyDescent="0.2">
      <c r="A12" s="38">
        <f>DATE(N6,K6,1)</f>
        <v>46143</v>
      </c>
      <c r="B12" s="39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</row>
    <row r="13" spans="1:35" ht="15.75" x14ac:dyDescent="0.2">
      <c r="A13" s="38">
        <f>A12+1</f>
        <v>46144</v>
      </c>
      <c r="B13" s="39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</row>
    <row r="14" spans="1:35" ht="15.75" x14ac:dyDescent="0.2">
      <c r="A14" s="38">
        <f t="shared" ref="A14:A39" si="0">A13+1</f>
        <v>46145</v>
      </c>
      <c r="B14" s="39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</row>
    <row r="15" spans="1:35" ht="15.75" x14ac:dyDescent="0.2">
      <c r="A15" s="38">
        <f t="shared" si="0"/>
        <v>46146</v>
      </c>
      <c r="B15" s="39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</row>
    <row r="16" spans="1:35" ht="15.75" x14ac:dyDescent="0.2">
      <c r="A16" s="38">
        <f t="shared" si="0"/>
        <v>46147</v>
      </c>
      <c r="B16" s="39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</row>
    <row r="17" spans="1:35" ht="15.75" x14ac:dyDescent="0.2">
      <c r="A17" s="38">
        <f t="shared" si="0"/>
        <v>46148</v>
      </c>
      <c r="B17" s="39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</row>
    <row r="18" spans="1:35" ht="15.75" x14ac:dyDescent="0.2">
      <c r="A18" s="38">
        <f t="shared" si="0"/>
        <v>46149</v>
      </c>
      <c r="B18" s="39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</row>
    <row r="19" spans="1:35" ht="15.75" x14ac:dyDescent="0.2">
      <c r="A19" s="38">
        <f t="shared" si="0"/>
        <v>46150</v>
      </c>
      <c r="B19" s="39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</row>
    <row r="20" spans="1:35" ht="15.75" x14ac:dyDescent="0.2">
      <c r="A20" s="38">
        <f t="shared" si="0"/>
        <v>46151</v>
      </c>
      <c r="B20" s="39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</row>
    <row r="21" spans="1:35" ht="15.75" x14ac:dyDescent="0.2">
      <c r="A21" s="38">
        <f t="shared" si="0"/>
        <v>46152</v>
      </c>
      <c r="B21" s="39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</row>
    <row r="22" spans="1:35" ht="15.75" x14ac:dyDescent="0.2">
      <c r="A22" s="38">
        <f t="shared" si="0"/>
        <v>46153</v>
      </c>
      <c r="B22" s="39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</row>
    <row r="23" spans="1:35" ht="15.75" x14ac:dyDescent="0.2">
      <c r="A23" s="38">
        <f t="shared" si="0"/>
        <v>46154</v>
      </c>
      <c r="B23" s="39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</row>
    <row r="24" spans="1:35" ht="15.75" x14ac:dyDescent="0.2">
      <c r="A24" s="38">
        <f t="shared" si="0"/>
        <v>46155</v>
      </c>
      <c r="B24" s="39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</row>
    <row r="25" spans="1:35" ht="15.75" x14ac:dyDescent="0.2">
      <c r="A25" s="38">
        <f t="shared" si="0"/>
        <v>46156</v>
      </c>
      <c r="B25" s="39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</row>
    <row r="26" spans="1:35" ht="15.75" x14ac:dyDescent="0.2">
      <c r="A26" s="38">
        <f t="shared" si="0"/>
        <v>46157</v>
      </c>
      <c r="B26" s="39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</row>
    <row r="27" spans="1:35" ht="15.75" x14ac:dyDescent="0.2">
      <c r="A27" s="38">
        <f t="shared" si="0"/>
        <v>46158</v>
      </c>
      <c r="B27" s="39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</row>
    <row r="28" spans="1:35" ht="15.75" x14ac:dyDescent="0.2">
      <c r="A28" s="38">
        <f t="shared" si="0"/>
        <v>46159</v>
      </c>
      <c r="B28" s="39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</row>
    <row r="29" spans="1:35" ht="15.75" x14ac:dyDescent="0.2">
      <c r="A29" s="38">
        <f t="shared" si="0"/>
        <v>46160</v>
      </c>
      <c r="B29" s="39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</row>
    <row r="30" spans="1:35" ht="15.75" x14ac:dyDescent="0.2">
      <c r="A30" s="38">
        <f t="shared" si="0"/>
        <v>46161</v>
      </c>
      <c r="B30" s="39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</row>
    <row r="31" spans="1:35" ht="15.75" x14ac:dyDescent="0.2">
      <c r="A31" s="38">
        <f t="shared" si="0"/>
        <v>46162</v>
      </c>
      <c r="B31" s="39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</row>
    <row r="32" spans="1:35" ht="15.75" x14ac:dyDescent="0.2">
      <c r="A32" s="38">
        <f t="shared" si="0"/>
        <v>46163</v>
      </c>
      <c r="B32" s="39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</row>
    <row r="33" spans="1:35" ht="15.75" x14ac:dyDescent="0.2">
      <c r="A33" s="38">
        <f t="shared" si="0"/>
        <v>46164</v>
      </c>
      <c r="B33" s="39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</row>
    <row r="34" spans="1:35" ht="15.75" x14ac:dyDescent="0.2">
      <c r="A34" s="38">
        <f>A33+1</f>
        <v>46165</v>
      </c>
      <c r="B34" s="39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</row>
    <row r="35" spans="1:35" ht="15.75" x14ac:dyDescent="0.2">
      <c r="A35" s="38">
        <f t="shared" si="0"/>
        <v>46166</v>
      </c>
      <c r="B35" s="39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</row>
    <row r="36" spans="1:35" ht="15.75" x14ac:dyDescent="0.2">
      <c r="A36" s="38">
        <f t="shared" si="0"/>
        <v>46167</v>
      </c>
      <c r="B36" s="39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</row>
    <row r="37" spans="1:35" ht="15.75" x14ac:dyDescent="0.2">
      <c r="A37" s="38">
        <f t="shared" si="0"/>
        <v>46168</v>
      </c>
      <c r="B37" s="39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</row>
    <row r="38" spans="1:35" ht="15.75" x14ac:dyDescent="0.2">
      <c r="A38" s="38">
        <f t="shared" si="0"/>
        <v>46169</v>
      </c>
      <c r="B38" s="39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</row>
    <row r="39" spans="1:35" ht="15.75" x14ac:dyDescent="0.2">
      <c r="A39" s="38">
        <f t="shared" si="0"/>
        <v>46170</v>
      </c>
      <c r="B39" s="39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</row>
    <row r="40" spans="1:35" ht="15.75" x14ac:dyDescent="0.2">
      <c r="A40" s="38">
        <f>IF(A39="","",IF(A39=EOMONTH(DATE($N$6,$K$6,1),0),"",A39+1))</f>
        <v>46171</v>
      </c>
      <c r="B40" s="39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</row>
    <row r="41" spans="1:35" ht="15.75" x14ac:dyDescent="0.2">
      <c r="A41" s="38">
        <f>IF(A40="","",IF(A40=EOMONTH(DATE($N$6,$K$6,1),0),"",A40+1))</f>
        <v>46172</v>
      </c>
      <c r="B41" s="39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</row>
    <row r="42" spans="1:35" ht="15.75" x14ac:dyDescent="0.2">
      <c r="A42" s="38">
        <f>IF(A41="","",IF(A41=EOMONTH(DATE($N$6,$K$6,1),0),"",A41+1))</f>
        <v>46173</v>
      </c>
      <c r="B42" s="39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</row>
    <row r="43" spans="1:35" ht="13.5" x14ac:dyDescent="0.25">
      <c r="A43" s="9" t="s">
        <v>101</v>
      </c>
      <c r="B43" s="40" t="s">
        <v>102</v>
      </c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</row>
    <row r="44" spans="1:35" x14ac:dyDescent="0.2">
      <c r="A44" s="11"/>
      <c r="B44" s="10" t="s">
        <v>103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 t="s">
        <v>104</v>
      </c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AI4"/>
    <mergeCell ref="A5:AI5"/>
    <mergeCell ref="N6:O6"/>
    <mergeCell ref="A8:A11"/>
    <mergeCell ref="B8:P8"/>
    <mergeCell ref="AI8:AI11"/>
    <mergeCell ref="A1:A3"/>
    <mergeCell ref="B1:M3"/>
    <mergeCell ref="N1:AI1"/>
    <mergeCell ref="N2:P2"/>
    <mergeCell ref="Q2:AH2"/>
    <mergeCell ref="N3:P3"/>
    <mergeCell ref="Q3:AH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3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zoomScale="70" zoomScaleNormal="70" workbookViewId="0">
      <selection activeCell="G36" sqref="G36"/>
    </sheetView>
  </sheetViews>
  <sheetFormatPr defaultRowHeight="12.75" x14ac:dyDescent="0.2"/>
  <cols>
    <col min="1" max="2" width="23.5" bestFit="1" customWidth="1"/>
    <col min="3" max="3" width="37.83203125" bestFit="1" customWidth="1"/>
    <col min="4" max="4" width="38.6640625" bestFit="1" customWidth="1"/>
    <col min="5" max="5" width="37.5" bestFit="1" customWidth="1"/>
    <col min="6" max="6" width="32.33203125" bestFit="1" customWidth="1"/>
    <col min="7" max="7" width="43.6640625" bestFit="1" customWidth="1"/>
    <col min="8" max="8" width="32.33203125" bestFit="1" customWidth="1"/>
    <col min="9" max="9" width="44" bestFit="1" customWidth="1"/>
    <col min="10" max="10" width="41.6640625" bestFit="1" customWidth="1"/>
    <col min="11" max="11" width="32.83203125" bestFit="1" customWidth="1"/>
    <col min="12" max="12" width="6.33203125" bestFit="1" customWidth="1"/>
    <col min="13" max="13" width="7.5" bestFit="1" customWidth="1"/>
    <col min="14" max="14" width="6.33203125" bestFit="1" customWidth="1"/>
    <col min="15" max="15" width="15.1640625" bestFit="1" customWidth="1"/>
    <col min="16" max="17" width="6.33203125" bestFit="1" customWidth="1"/>
    <col min="18" max="19" width="44.1640625" bestFit="1" customWidth="1"/>
    <col min="20" max="20" width="25.6640625" bestFit="1" customWidth="1"/>
    <col min="21" max="21" width="26.33203125" bestFit="1" customWidth="1"/>
    <col min="22" max="22" width="37.83203125" bestFit="1" customWidth="1"/>
    <col min="23" max="27" width="26.33203125" bestFit="1" customWidth="1"/>
    <col min="28" max="28" width="46.6640625" bestFit="1" customWidth="1"/>
    <col min="29" max="29" width="44.1640625" bestFit="1" customWidth="1"/>
    <col min="30" max="31" width="45.33203125" bestFit="1" customWidth="1"/>
    <col min="32" max="33" width="44.6640625" bestFit="1" customWidth="1"/>
    <col min="34" max="34" width="20.6640625" bestFit="1" customWidth="1"/>
    <col min="35" max="35" width="14.6640625" bestFit="1" customWidth="1"/>
  </cols>
  <sheetData>
    <row r="1" spans="1:35" x14ac:dyDescent="0.2">
      <c r="A1" s="12" t="s">
        <v>0</v>
      </c>
      <c r="B1" s="13" t="s">
        <v>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5"/>
      <c r="N1" s="22" t="s">
        <v>2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4"/>
    </row>
    <row r="2" spans="1:35" x14ac:dyDescent="0.2">
      <c r="A2" s="12"/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  <c r="N2" s="22" t="s">
        <v>3</v>
      </c>
      <c r="O2" s="23"/>
      <c r="P2" s="24"/>
      <c r="Q2" s="22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1" t="s">
        <v>4</v>
      </c>
    </row>
    <row r="3" spans="1:35" x14ac:dyDescent="0.2">
      <c r="A3" s="12"/>
      <c r="B3" s="19"/>
      <c r="C3" s="20"/>
      <c r="D3" s="20"/>
      <c r="E3" s="20"/>
      <c r="F3" s="20"/>
      <c r="G3" s="20"/>
      <c r="H3" s="20"/>
      <c r="I3" s="20"/>
      <c r="J3" s="20"/>
      <c r="K3" s="20"/>
      <c r="L3" s="20"/>
      <c r="M3" s="21"/>
      <c r="N3" s="22" t="s">
        <v>5</v>
      </c>
      <c r="O3" s="23"/>
      <c r="P3" s="24"/>
      <c r="Q3" s="22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1" t="s">
        <v>6</v>
      </c>
    </row>
    <row r="4" spans="1:35" x14ac:dyDescent="0.2">
      <c r="A4" s="25" t="s">
        <v>7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7"/>
    </row>
    <row r="5" spans="1:35" ht="18.75" x14ac:dyDescent="0.2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</row>
    <row r="6" spans="1:35" ht="15.75" x14ac:dyDescent="0.25">
      <c r="A6" s="2" t="s">
        <v>8</v>
      </c>
      <c r="B6" s="3"/>
      <c r="C6" s="3"/>
      <c r="D6" s="3"/>
      <c r="E6" s="3"/>
      <c r="F6" s="3"/>
      <c r="G6" s="3"/>
      <c r="H6" s="3"/>
      <c r="I6" s="3"/>
      <c r="J6" s="3" t="s">
        <v>9</v>
      </c>
      <c r="K6" s="3">
        <v>6</v>
      </c>
      <c r="L6" s="3"/>
      <c r="M6" s="3" t="s">
        <v>10</v>
      </c>
      <c r="N6" s="29">
        <v>2026</v>
      </c>
      <c r="O6" s="29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30" t="s">
        <v>11</v>
      </c>
      <c r="B8" s="32" t="s">
        <v>12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35" t="s">
        <v>13</v>
      </c>
    </row>
    <row r="9" spans="1:35" x14ac:dyDescent="0.2">
      <c r="A9" s="30"/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23</v>
      </c>
      <c r="L9" s="5" t="s">
        <v>24</v>
      </c>
      <c r="M9" s="5" t="s">
        <v>25</v>
      </c>
      <c r="N9" s="5" t="s">
        <v>26</v>
      </c>
      <c r="O9" s="5" t="s">
        <v>27</v>
      </c>
      <c r="P9" s="5" t="s">
        <v>28</v>
      </c>
      <c r="Q9" s="5" t="s">
        <v>29</v>
      </c>
      <c r="R9" s="5" t="s">
        <v>30</v>
      </c>
      <c r="S9" s="5" t="s">
        <v>31</v>
      </c>
      <c r="T9" s="5" t="s">
        <v>32</v>
      </c>
      <c r="U9" s="5" t="s">
        <v>33</v>
      </c>
      <c r="V9" s="5" t="s">
        <v>34</v>
      </c>
      <c r="W9" s="5" t="s">
        <v>35</v>
      </c>
      <c r="X9" s="5" t="s">
        <v>36</v>
      </c>
      <c r="Y9" s="5" t="s">
        <v>37</v>
      </c>
      <c r="Z9" s="5" t="s">
        <v>38</v>
      </c>
      <c r="AA9" s="5" t="s">
        <v>39</v>
      </c>
      <c r="AB9" s="5" t="s">
        <v>40</v>
      </c>
      <c r="AC9" s="5" t="s">
        <v>41</v>
      </c>
      <c r="AD9" s="5" t="s">
        <v>42</v>
      </c>
      <c r="AE9" s="5" t="s">
        <v>43</v>
      </c>
      <c r="AF9" s="5" t="s">
        <v>44</v>
      </c>
      <c r="AG9" s="5" t="s">
        <v>45</v>
      </c>
      <c r="AH9" s="5" t="s">
        <v>46</v>
      </c>
      <c r="AI9" s="36"/>
    </row>
    <row r="10" spans="1:35" ht="15" x14ac:dyDescent="0.25">
      <c r="A10" s="30"/>
      <c r="B10" s="6" t="s">
        <v>47</v>
      </c>
      <c r="C10" s="7" t="s">
        <v>48</v>
      </c>
      <c r="D10" s="7" t="s">
        <v>49</v>
      </c>
      <c r="E10" s="7" t="s">
        <v>50</v>
      </c>
      <c r="F10" s="7" t="s">
        <v>51</v>
      </c>
      <c r="G10" s="7" t="s">
        <v>52</v>
      </c>
      <c r="H10" s="7" t="s">
        <v>53</v>
      </c>
      <c r="I10" s="7" t="s">
        <v>54</v>
      </c>
      <c r="J10" s="7" t="s">
        <v>55</v>
      </c>
      <c r="K10" s="7" t="s">
        <v>56</v>
      </c>
      <c r="L10" s="7"/>
      <c r="M10" s="7"/>
      <c r="N10" s="7"/>
      <c r="O10" s="7"/>
      <c r="P10" s="7"/>
      <c r="Q10" s="7"/>
      <c r="R10" s="7" t="s">
        <v>57</v>
      </c>
      <c r="S10" s="7" t="s">
        <v>58</v>
      </c>
      <c r="T10" s="7" t="s">
        <v>59</v>
      </c>
      <c r="U10" s="7" t="s">
        <v>60</v>
      </c>
      <c r="V10" s="7" t="s">
        <v>61</v>
      </c>
      <c r="W10" s="7" t="s">
        <v>62</v>
      </c>
      <c r="X10" s="7" t="s">
        <v>63</v>
      </c>
      <c r="Y10" s="7" t="s">
        <v>64</v>
      </c>
      <c r="Z10" s="7" t="s">
        <v>65</v>
      </c>
      <c r="AA10" s="7" t="s">
        <v>66</v>
      </c>
      <c r="AB10" s="7" t="s">
        <v>67</v>
      </c>
      <c r="AC10" s="7" t="s">
        <v>68</v>
      </c>
      <c r="AD10" s="7" t="s">
        <v>69</v>
      </c>
      <c r="AE10" s="7" t="s">
        <v>70</v>
      </c>
      <c r="AF10" s="7" t="s">
        <v>71</v>
      </c>
      <c r="AG10" s="7" t="s">
        <v>72</v>
      </c>
      <c r="AH10" s="7" t="s">
        <v>73</v>
      </c>
      <c r="AI10" s="36"/>
    </row>
    <row r="11" spans="1:35" ht="15" x14ac:dyDescent="0.25">
      <c r="A11" s="31"/>
      <c r="B11" s="6" t="s">
        <v>74</v>
      </c>
      <c r="C11" s="7" t="s">
        <v>75</v>
      </c>
      <c r="D11" s="7" t="s">
        <v>76</v>
      </c>
      <c r="E11" s="7" t="s">
        <v>77</v>
      </c>
      <c r="F11" s="7" t="s">
        <v>78</v>
      </c>
      <c r="G11" s="7" t="s">
        <v>79</v>
      </c>
      <c r="H11" s="7" t="s">
        <v>80</v>
      </c>
      <c r="I11" s="7" t="s">
        <v>81</v>
      </c>
      <c r="J11" s="7" t="s">
        <v>82</v>
      </c>
      <c r="K11" s="7" t="s">
        <v>83</v>
      </c>
      <c r="L11" s="7"/>
      <c r="M11" s="7"/>
      <c r="N11" s="7"/>
      <c r="O11" s="7"/>
      <c r="P11" s="7"/>
      <c r="Q11" s="7"/>
      <c r="R11" s="7" t="s">
        <v>84</v>
      </c>
      <c r="S11" s="7" t="s">
        <v>85</v>
      </c>
      <c r="T11" s="7" t="s">
        <v>86</v>
      </c>
      <c r="U11" s="7" t="s">
        <v>87</v>
      </c>
      <c r="V11" s="7" t="s">
        <v>88</v>
      </c>
      <c r="W11" s="7" t="s">
        <v>89</v>
      </c>
      <c r="X11" s="7" t="s">
        <v>90</v>
      </c>
      <c r="Y11" s="7" t="s">
        <v>91</v>
      </c>
      <c r="Z11" s="7" t="s">
        <v>92</v>
      </c>
      <c r="AA11" s="7" t="s">
        <v>93</v>
      </c>
      <c r="AB11" s="7" t="s">
        <v>94</v>
      </c>
      <c r="AC11" s="7" t="s">
        <v>95</v>
      </c>
      <c r="AD11" s="7" t="s">
        <v>96</v>
      </c>
      <c r="AE11" s="7" t="s">
        <v>97</v>
      </c>
      <c r="AF11" s="7" t="s">
        <v>98</v>
      </c>
      <c r="AG11" s="7" t="s">
        <v>99</v>
      </c>
      <c r="AH11" s="7" t="s">
        <v>100</v>
      </c>
      <c r="AI11" s="37"/>
    </row>
    <row r="12" spans="1:35" ht="15.75" x14ac:dyDescent="0.2">
      <c r="A12" s="38">
        <f>DATE(N6,K6,1)</f>
        <v>46174</v>
      </c>
      <c r="B12" s="39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</row>
    <row r="13" spans="1:35" ht="15.75" x14ac:dyDescent="0.2">
      <c r="A13" s="38">
        <f>A12+1</f>
        <v>46175</v>
      </c>
      <c r="B13" s="39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</row>
    <row r="14" spans="1:35" ht="15.75" x14ac:dyDescent="0.2">
      <c r="A14" s="38">
        <f t="shared" ref="A14:A39" si="0">A13+1</f>
        <v>46176</v>
      </c>
      <c r="B14" s="39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</row>
    <row r="15" spans="1:35" ht="15.75" x14ac:dyDescent="0.2">
      <c r="A15" s="38">
        <f t="shared" si="0"/>
        <v>46177</v>
      </c>
      <c r="B15" s="39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</row>
    <row r="16" spans="1:35" ht="15.75" x14ac:dyDescent="0.2">
      <c r="A16" s="38">
        <f t="shared" si="0"/>
        <v>46178</v>
      </c>
      <c r="B16" s="39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</row>
    <row r="17" spans="1:35" ht="15.75" x14ac:dyDescent="0.2">
      <c r="A17" s="38">
        <f t="shared" si="0"/>
        <v>46179</v>
      </c>
      <c r="B17" s="39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</row>
    <row r="18" spans="1:35" ht="15.75" x14ac:dyDescent="0.2">
      <c r="A18" s="38">
        <f t="shared" si="0"/>
        <v>46180</v>
      </c>
      <c r="B18" s="39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</row>
    <row r="19" spans="1:35" ht="15.75" x14ac:dyDescent="0.2">
      <c r="A19" s="38">
        <f t="shared" si="0"/>
        <v>46181</v>
      </c>
      <c r="B19" s="39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</row>
    <row r="20" spans="1:35" ht="15.75" x14ac:dyDescent="0.2">
      <c r="A20" s="38">
        <f t="shared" si="0"/>
        <v>46182</v>
      </c>
      <c r="B20" s="39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</row>
    <row r="21" spans="1:35" ht="15.75" x14ac:dyDescent="0.2">
      <c r="A21" s="38">
        <f t="shared" si="0"/>
        <v>46183</v>
      </c>
      <c r="B21" s="39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</row>
    <row r="22" spans="1:35" ht="15.75" x14ac:dyDescent="0.2">
      <c r="A22" s="38">
        <f t="shared" si="0"/>
        <v>46184</v>
      </c>
      <c r="B22" s="39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</row>
    <row r="23" spans="1:35" ht="15.75" x14ac:dyDescent="0.2">
      <c r="A23" s="38">
        <f t="shared" si="0"/>
        <v>46185</v>
      </c>
      <c r="B23" s="39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</row>
    <row r="24" spans="1:35" ht="15.75" x14ac:dyDescent="0.2">
      <c r="A24" s="38">
        <f t="shared" si="0"/>
        <v>46186</v>
      </c>
      <c r="B24" s="39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</row>
    <row r="25" spans="1:35" ht="15.75" x14ac:dyDescent="0.2">
      <c r="A25" s="38">
        <f t="shared" si="0"/>
        <v>46187</v>
      </c>
      <c r="B25" s="39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</row>
    <row r="26" spans="1:35" ht="15.75" x14ac:dyDescent="0.2">
      <c r="A26" s="38">
        <f t="shared" si="0"/>
        <v>46188</v>
      </c>
      <c r="B26" s="39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</row>
    <row r="27" spans="1:35" ht="15.75" x14ac:dyDescent="0.2">
      <c r="A27" s="38">
        <f t="shared" si="0"/>
        <v>46189</v>
      </c>
      <c r="B27" s="39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</row>
    <row r="28" spans="1:35" ht="15.75" x14ac:dyDescent="0.2">
      <c r="A28" s="38">
        <f t="shared" si="0"/>
        <v>46190</v>
      </c>
      <c r="B28" s="39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</row>
    <row r="29" spans="1:35" ht="15.75" x14ac:dyDescent="0.2">
      <c r="A29" s="38">
        <f t="shared" si="0"/>
        <v>46191</v>
      </c>
      <c r="B29" s="39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</row>
    <row r="30" spans="1:35" ht="15.75" x14ac:dyDescent="0.2">
      <c r="A30" s="38">
        <f t="shared" si="0"/>
        <v>46192</v>
      </c>
      <c r="B30" s="39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</row>
    <row r="31" spans="1:35" ht="15.75" x14ac:dyDescent="0.2">
      <c r="A31" s="38">
        <f t="shared" si="0"/>
        <v>46193</v>
      </c>
      <c r="B31" s="39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</row>
    <row r="32" spans="1:35" ht="15.75" x14ac:dyDescent="0.2">
      <c r="A32" s="38">
        <f t="shared" si="0"/>
        <v>46194</v>
      </c>
      <c r="B32" s="39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</row>
    <row r="33" spans="1:35" ht="15.75" x14ac:dyDescent="0.2">
      <c r="A33" s="38">
        <f t="shared" si="0"/>
        <v>46195</v>
      </c>
      <c r="B33" s="39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</row>
    <row r="34" spans="1:35" ht="15.75" x14ac:dyDescent="0.2">
      <c r="A34" s="38">
        <f>A33+1</f>
        <v>46196</v>
      </c>
      <c r="B34" s="39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</row>
    <row r="35" spans="1:35" ht="15.75" x14ac:dyDescent="0.2">
      <c r="A35" s="38">
        <f t="shared" si="0"/>
        <v>46197</v>
      </c>
      <c r="B35" s="39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</row>
    <row r="36" spans="1:35" ht="15.75" x14ac:dyDescent="0.2">
      <c r="A36" s="38">
        <f t="shared" si="0"/>
        <v>46198</v>
      </c>
      <c r="B36" s="39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</row>
    <row r="37" spans="1:35" ht="15.75" x14ac:dyDescent="0.2">
      <c r="A37" s="38">
        <f t="shared" si="0"/>
        <v>46199</v>
      </c>
      <c r="B37" s="39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</row>
    <row r="38" spans="1:35" ht="15.75" x14ac:dyDescent="0.2">
      <c r="A38" s="38">
        <f t="shared" si="0"/>
        <v>46200</v>
      </c>
      <c r="B38" s="39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</row>
    <row r="39" spans="1:35" ht="15.75" x14ac:dyDescent="0.2">
      <c r="A39" s="38">
        <f t="shared" si="0"/>
        <v>46201</v>
      </c>
      <c r="B39" s="39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</row>
    <row r="40" spans="1:35" ht="15.75" x14ac:dyDescent="0.2">
      <c r="A40" s="38">
        <f>IF(A39="","",IF(A39=EOMONTH(DATE($N$6,$K$6,1),0),"",A39+1))</f>
        <v>46202</v>
      </c>
      <c r="B40" s="39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</row>
    <row r="41" spans="1:35" ht="15.75" x14ac:dyDescent="0.2">
      <c r="A41" s="38">
        <f>IF(A40="","",IF(A40=EOMONTH(DATE($N$6,$K$6,1),0),"",A40+1))</f>
        <v>46203</v>
      </c>
      <c r="B41" s="39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</row>
    <row r="42" spans="1:35" ht="15.75" x14ac:dyDescent="0.2">
      <c r="A42" s="38" t="str">
        <f>IF(A41="","",IF(A41=EOMONTH(DATE($N$6,$K$6,1),0),"",A41+1))</f>
        <v/>
      </c>
      <c r="B42" s="39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</row>
    <row r="43" spans="1:35" ht="13.5" x14ac:dyDescent="0.25">
      <c r="A43" s="9" t="s">
        <v>101</v>
      </c>
      <c r="B43" s="40" t="s">
        <v>102</v>
      </c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</row>
    <row r="44" spans="1:35" x14ac:dyDescent="0.2">
      <c r="A44" s="11"/>
      <c r="B44" s="10" t="s">
        <v>103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 t="s">
        <v>104</v>
      </c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AI4"/>
    <mergeCell ref="A5:AI5"/>
    <mergeCell ref="N6:O6"/>
    <mergeCell ref="A8:A11"/>
    <mergeCell ref="B8:P8"/>
    <mergeCell ref="AI8:AI11"/>
    <mergeCell ref="A1:A3"/>
    <mergeCell ref="B1:M3"/>
    <mergeCell ref="N1:AI1"/>
    <mergeCell ref="N2:P2"/>
    <mergeCell ref="Q2:AH2"/>
    <mergeCell ref="N3:P3"/>
    <mergeCell ref="Q3:AH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7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zoomScale="70" zoomScaleNormal="70" workbookViewId="0">
      <selection activeCell="G36" sqref="G36"/>
    </sheetView>
  </sheetViews>
  <sheetFormatPr defaultRowHeight="12.75" x14ac:dyDescent="0.2"/>
  <cols>
    <col min="1" max="2" width="23.5" bestFit="1" customWidth="1"/>
    <col min="3" max="3" width="37.83203125" bestFit="1" customWidth="1"/>
    <col min="4" max="4" width="38.6640625" bestFit="1" customWidth="1"/>
    <col min="5" max="5" width="37.5" bestFit="1" customWidth="1"/>
    <col min="6" max="6" width="32.33203125" bestFit="1" customWidth="1"/>
    <col min="7" max="7" width="43.6640625" bestFit="1" customWidth="1"/>
    <col min="8" max="8" width="32.33203125" bestFit="1" customWidth="1"/>
    <col min="9" max="9" width="44" bestFit="1" customWidth="1"/>
    <col min="10" max="10" width="41.6640625" bestFit="1" customWidth="1"/>
    <col min="11" max="11" width="32.83203125" bestFit="1" customWidth="1"/>
    <col min="12" max="12" width="6.33203125" bestFit="1" customWidth="1"/>
    <col min="13" max="13" width="7.5" bestFit="1" customWidth="1"/>
    <col min="14" max="14" width="6.33203125" bestFit="1" customWidth="1"/>
    <col min="15" max="15" width="15.1640625" bestFit="1" customWidth="1"/>
    <col min="16" max="17" width="6.33203125" bestFit="1" customWidth="1"/>
    <col min="18" max="19" width="44.1640625" bestFit="1" customWidth="1"/>
    <col min="20" max="20" width="25.6640625" bestFit="1" customWidth="1"/>
    <col min="21" max="21" width="26.33203125" bestFit="1" customWidth="1"/>
    <col min="22" max="22" width="37.83203125" bestFit="1" customWidth="1"/>
    <col min="23" max="27" width="26.33203125" bestFit="1" customWidth="1"/>
    <col min="28" max="28" width="46.6640625" bestFit="1" customWidth="1"/>
    <col min="29" max="29" width="44.1640625" bestFit="1" customWidth="1"/>
    <col min="30" max="31" width="45.33203125" bestFit="1" customWidth="1"/>
    <col min="32" max="33" width="44.6640625" bestFit="1" customWidth="1"/>
    <col min="34" max="34" width="20.6640625" bestFit="1" customWidth="1"/>
    <col min="35" max="35" width="14.6640625" bestFit="1" customWidth="1"/>
  </cols>
  <sheetData>
    <row r="1" spans="1:35" x14ac:dyDescent="0.2">
      <c r="A1" s="12" t="s">
        <v>0</v>
      </c>
      <c r="B1" s="13" t="s">
        <v>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5"/>
      <c r="N1" s="22" t="s">
        <v>2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4"/>
    </row>
    <row r="2" spans="1:35" x14ac:dyDescent="0.2">
      <c r="A2" s="12"/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  <c r="N2" s="22" t="s">
        <v>3</v>
      </c>
      <c r="O2" s="23"/>
      <c r="P2" s="24"/>
      <c r="Q2" s="22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1" t="s">
        <v>4</v>
      </c>
    </row>
    <row r="3" spans="1:35" x14ac:dyDescent="0.2">
      <c r="A3" s="12"/>
      <c r="B3" s="19"/>
      <c r="C3" s="20"/>
      <c r="D3" s="20"/>
      <c r="E3" s="20"/>
      <c r="F3" s="20"/>
      <c r="G3" s="20"/>
      <c r="H3" s="20"/>
      <c r="I3" s="20"/>
      <c r="J3" s="20"/>
      <c r="K3" s="20"/>
      <c r="L3" s="20"/>
      <c r="M3" s="21"/>
      <c r="N3" s="22" t="s">
        <v>5</v>
      </c>
      <c r="O3" s="23"/>
      <c r="P3" s="24"/>
      <c r="Q3" s="22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1" t="s">
        <v>6</v>
      </c>
    </row>
    <row r="4" spans="1:35" x14ac:dyDescent="0.2">
      <c r="A4" s="25" t="s">
        <v>7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7"/>
    </row>
    <row r="5" spans="1:35" ht="18.75" x14ac:dyDescent="0.2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</row>
    <row r="6" spans="1:35" ht="15.75" x14ac:dyDescent="0.25">
      <c r="A6" s="2" t="s">
        <v>8</v>
      </c>
      <c r="B6" s="3"/>
      <c r="C6" s="3"/>
      <c r="D6" s="3"/>
      <c r="E6" s="3"/>
      <c r="F6" s="3"/>
      <c r="G6" s="3"/>
      <c r="H6" s="3"/>
      <c r="I6" s="3"/>
      <c r="J6" s="3" t="s">
        <v>9</v>
      </c>
      <c r="K6" s="3">
        <v>7</v>
      </c>
      <c r="L6" s="3"/>
      <c r="M6" s="3" t="s">
        <v>10</v>
      </c>
      <c r="N6" s="29">
        <v>2026</v>
      </c>
      <c r="O6" s="29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30" t="s">
        <v>11</v>
      </c>
      <c r="B8" s="32" t="s">
        <v>12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35" t="s">
        <v>13</v>
      </c>
    </row>
    <row r="9" spans="1:35" x14ac:dyDescent="0.2">
      <c r="A9" s="30"/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23</v>
      </c>
      <c r="L9" s="5" t="s">
        <v>24</v>
      </c>
      <c r="M9" s="5" t="s">
        <v>25</v>
      </c>
      <c r="N9" s="5" t="s">
        <v>26</v>
      </c>
      <c r="O9" s="5" t="s">
        <v>27</v>
      </c>
      <c r="P9" s="5" t="s">
        <v>28</v>
      </c>
      <c r="Q9" s="5" t="s">
        <v>29</v>
      </c>
      <c r="R9" s="5" t="s">
        <v>30</v>
      </c>
      <c r="S9" s="5" t="s">
        <v>31</v>
      </c>
      <c r="T9" s="5" t="s">
        <v>32</v>
      </c>
      <c r="U9" s="5" t="s">
        <v>33</v>
      </c>
      <c r="V9" s="5" t="s">
        <v>34</v>
      </c>
      <c r="W9" s="5" t="s">
        <v>35</v>
      </c>
      <c r="X9" s="5" t="s">
        <v>36</v>
      </c>
      <c r="Y9" s="5" t="s">
        <v>37</v>
      </c>
      <c r="Z9" s="5" t="s">
        <v>38</v>
      </c>
      <c r="AA9" s="5" t="s">
        <v>39</v>
      </c>
      <c r="AB9" s="5" t="s">
        <v>40</v>
      </c>
      <c r="AC9" s="5" t="s">
        <v>41</v>
      </c>
      <c r="AD9" s="5" t="s">
        <v>42</v>
      </c>
      <c r="AE9" s="5" t="s">
        <v>43</v>
      </c>
      <c r="AF9" s="5" t="s">
        <v>44</v>
      </c>
      <c r="AG9" s="5" t="s">
        <v>45</v>
      </c>
      <c r="AH9" s="5" t="s">
        <v>46</v>
      </c>
      <c r="AI9" s="36"/>
    </row>
    <row r="10" spans="1:35" ht="15" x14ac:dyDescent="0.25">
      <c r="A10" s="30"/>
      <c r="B10" s="6" t="s">
        <v>47</v>
      </c>
      <c r="C10" s="7" t="s">
        <v>48</v>
      </c>
      <c r="D10" s="7" t="s">
        <v>49</v>
      </c>
      <c r="E10" s="7" t="s">
        <v>50</v>
      </c>
      <c r="F10" s="7" t="s">
        <v>51</v>
      </c>
      <c r="G10" s="7" t="s">
        <v>52</v>
      </c>
      <c r="H10" s="7" t="s">
        <v>53</v>
      </c>
      <c r="I10" s="7" t="s">
        <v>54</v>
      </c>
      <c r="J10" s="7" t="s">
        <v>55</v>
      </c>
      <c r="K10" s="7" t="s">
        <v>56</v>
      </c>
      <c r="L10" s="7"/>
      <c r="M10" s="7"/>
      <c r="N10" s="7"/>
      <c r="O10" s="7"/>
      <c r="P10" s="7"/>
      <c r="Q10" s="7"/>
      <c r="R10" s="7" t="s">
        <v>57</v>
      </c>
      <c r="S10" s="7" t="s">
        <v>58</v>
      </c>
      <c r="T10" s="7" t="s">
        <v>59</v>
      </c>
      <c r="U10" s="7" t="s">
        <v>60</v>
      </c>
      <c r="V10" s="7" t="s">
        <v>61</v>
      </c>
      <c r="W10" s="7" t="s">
        <v>62</v>
      </c>
      <c r="X10" s="7" t="s">
        <v>63</v>
      </c>
      <c r="Y10" s="7" t="s">
        <v>64</v>
      </c>
      <c r="Z10" s="7" t="s">
        <v>65</v>
      </c>
      <c r="AA10" s="7" t="s">
        <v>66</v>
      </c>
      <c r="AB10" s="7" t="s">
        <v>67</v>
      </c>
      <c r="AC10" s="7" t="s">
        <v>68</v>
      </c>
      <c r="AD10" s="7" t="s">
        <v>69</v>
      </c>
      <c r="AE10" s="7" t="s">
        <v>70</v>
      </c>
      <c r="AF10" s="7" t="s">
        <v>71</v>
      </c>
      <c r="AG10" s="7" t="s">
        <v>72</v>
      </c>
      <c r="AH10" s="7" t="s">
        <v>73</v>
      </c>
      <c r="AI10" s="36"/>
    </row>
    <row r="11" spans="1:35" ht="15" x14ac:dyDescent="0.25">
      <c r="A11" s="31"/>
      <c r="B11" s="6" t="s">
        <v>74</v>
      </c>
      <c r="C11" s="7" t="s">
        <v>75</v>
      </c>
      <c r="D11" s="7" t="s">
        <v>76</v>
      </c>
      <c r="E11" s="7" t="s">
        <v>77</v>
      </c>
      <c r="F11" s="7" t="s">
        <v>78</v>
      </c>
      <c r="G11" s="7" t="s">
        <v>79</v>
      </c>
      <c r="H11" s="7" t="s">
        <v>80</v>
      </c>
      <c r="I11" s="7" t="s">
        <v>81</v>
      </c>
      <c r="J11" s="7" t="s">
        <v>82</v>
      </c>
      <c r="K11" s="7" t="s">
        <v>83</v>
      </c>
      <c r="L11" s="7"/>
      <c r="M11" s="7"/>
      <c r="N11" s="7"/>
      <c r="O11" s="7"/>
      <c r="P11" s="7"/>
      <c r="Q11" s="7"/>
      <c r="R11" s="7" t="s">
        <v>84</v>
      </c>
      <c r="S11" s="7" t="s">
        <v>85</v>
      </c>
      <c r="T11" s="7" t="s">
        <v>86</v>
      </c>
      <c r="U11" s="7" t="s">
        <v>87</v>
      </c>
      <c r="V11" s="7" t="s">
        <v>88</v>
      </c>
      <c r="W11" s="7" t="s">
        <v>89</v>
      </c>
      <c r="X11" s="7" t="s">
        <v>90</v>
      </c>
      <c r="Y11" s="7" t="s">
        <v>91</v>
      </c>
      <c r="Z11" s="7" t="s">
        <v>92</v>
      </c>
      <c r="AA11" s="7" t="s">
        <v>93</v>
      </c>
      <c r="AB11" s="7" t="s">
        <v>94</v>
      </c>
      <c r="AC11" s="7" t="s">
        <v>95</v>
      </c>
      <c r="AD11" s="7" t="s">
        <v>96</v>
      </c>
      <c r="AE11" s="7" t="s">
        <v>97</v>
      </c>
      <c r="AF11" s="7" t="s">
        <v>98</v>
      </c>
      <c r="AG11" s="7" t="s">
        <v>99</v>
      </c>
      <c r="AH11" s="7" t="s">
        <v>100</v>
      </c>
      <c r="AI11" s="37"/>
    </row>
    <row r="12" spans="1:35" ht="15.75" x14ac:dyDescent="0.2">
      <c r="A12" s="38">
        <f>DATE(N6,K6,1)</f>
        <v>46204</v>
      </c>
      <c r="B12" s="39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</row>
    <row r="13" spans="1:35" ht="15.75" x14ac:dyDescent="0.2">
      <c r="A13" s="38">
        <f>A12+1</f>
        <v>46205</v>
      </c>
      <c r="B13" s="39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</row>
    <row r="14" spans="1:35" ht="15.75" x14ac:dyDescent="0.2">
      <c r="A14" s="38">
        <f t="shared" ref="A14:A39" si="0">A13+1</f>
        <v>46206</v>
      </c>
      <c r="B14" s="39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</row>
    <row r="15" spans="1:35" ht="15.75" x14ac:dyDescent="0.2">
      <c r="A15" s="38">
        <f t="shared" si="0"/>
        <v>46207</v>
      </c>
      <c r="B15" s="39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</row>
    <row r="16" spans="1:35" ht="15.75" x14ac:dyDescent="0.2">
      <c r="A16" s="38">
        <f t="shared" si="0"/>
        <v>46208</v>
      </c>
      <c r="B16" s="39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</row>
    <row r="17" spans="1:35" ht="15.75" x14ac:dyDescent="0.2">
      <c r="A17" s="38">
        <f t="shared" si="0"/>
        <v>46209</v>
      </c>
      <c r="B17" s="39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</row>
    <row r="18" spans="1:35" ht="15.75" x14ac:dyDescent="0.2">
      <c r="A18" s="38">
        <f t="shared" si="0"/>
        <v>46210</v>
      </c>
      <c r="B18" s="39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</row>
    <row r="19" spans="1:35" ht="15.75" x14ac:dyDescent="0.2">
      <c r="A19" s="38">
        <f t="shared" si="0"/>
        <v>46211</v>
      </c>
      <c r="B19" s="39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</row>
    <row r="20" spans="1:35" ht="15.75" x14ac:dyDescent="0.2">
      <c r="A20" s="38">
        <f t="shared" si="0"/>
        <v>46212</v>
      </c>
      <c r="B20" s="39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</row>
    <row r="21" spans="1:35" ht="15.75" x14ac:dyDescent="0.2">
      <c r="A21" s="38">
        <f t="shared" si="0"/>
        <v>46213</v>
      </c>
      <c r="B21" s="39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</row>
    <row r="22" spans="1:35" ht="15.75" x14ac:dyDescent="0.2">
      <c r="A22" s="38">
        <f t="shared" si="0"/>
        <v>46214</v>
      </c>
      <c r="B22" s="39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</row>
    <row r="23" spans="1:35" ht="15.75" x14ac:dyDescent="0.2">
      <c r="A23" s="38">
        <f t="shared" si="0"/>
        <v>46215</v>
      </c>
      <c r="B23" s="39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</row>
    <row r="24" spans="1:35" ht="15.75" x14ac:dyDescent="0.2">
      <c r="A24" s="38">
        <f t="shared" si="0"/>
        <v>46216</v>
      </c>
      <c r="B24" s="39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</row>
    <row r="25" spans="1:35" ht="15.75" x14ac:dyDescent="0.2">
      <c r="A25" s="38">
        <f t="shared" si="0"/>
        <v>46217</v>
      </c>
      <c r="B25" s="39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</row>
    <row r="26" spans="1:35" ht="15.75" x14ac:dyDescent="0.2">
      <c r="A26" s="38">
        <f t="shared" si="0"/>
        <v>46218</v>
      </c>
      <c r="B26" s="39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</row>
    <row r="27" spans="1:35" ht="15.75" x14ac:dyDescent="0.2">
      <c r="A27" s="38">
        <f t="shared" si="0"/>
        <v>46219</v>
      </c>
      <c r="B27" s="39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</row>
    <row r="28" spans="1:35" ht="15.75" x14ac:dyDescent="0.2">
      <c r="A28" s="38">
        <f t="shared" si="0"/>
        <v>46220</v>
      </c>
      <c r="B28" s="39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</row>
    <row r="29" spans="1:35" ht="15.75" x14ac:dyDescent="0.2">
      <c r="A29" s="38">
        <f t="shared" si="0"/>
        <v>46221</v>
      </c>
      <c r="B29" s="39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</row>
    <row r="30" spans="1:35" ht="15.75" x14ac:dyDescent="0.2">
      <c r="A30" s="38">
        <f t="shared" si="0"/>
        <v>46222</v>
      </c>
      <c r="B30" s="39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</row>
    <row r="31" spans="1:35" ht="15.75" x14ac:dyDescent="0.2">
      <c r="A31" s="38">
        <f t="shared" si="0"/>
        <v>46223</v>
      </c>
      <c r="B31" s="39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</row>
    <row r="32" spans="1:35" ht="15.75" x14ac:dyDescent="0.2">
      <c r="A32" s="38">
        <f t="shared" si="0"/>
        <v>46224</v>
      </c>
      <c r="B32" s="39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</row>
    <row r="33" spans="1:35" ht="15.75" x14ac:dyDescent="0.2">
      <c r="A33" s="38">
        <f t="shared" si="0"/>
        <v>46225</v>
      </c>
      <c r="B33" s="39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</row>
    <row r="34" spans="1:35" ht="15.75" x14ac:dyDescent="0.2">
      <c r="A34" s="38">
        <f>A33+1</f>
        <v>46226</v>
      </c>
      <c r="B34" s="39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</row>
    <row r="35" spans="1:35" ht="15.75" x14ac:dyDescent="0.2">
      <c r="A35" s="38">
        <f t="shared" si="0"/>
        <v>46227</v>
      </c>
      <c r="B35" s="39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</row>
    <row r="36" spans="1:35" ht="15.75" x14ac:dyDescent="0.2">
      <c r="A36" s="38">
        <f t="shared" si="0"/>
        <v>46228</v>
      </c>
      <c r="B36" s="39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</row>
    <row r="37" spans="1:35" ht="15.75" x14ac:dyDescent="0.2">
      <c r="A37" s="38">
        <f t="shared" si="0"/>
        <v>46229</v>
      </c>
      <c r="B37" s="39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</row>
    <row r="38" spans="1:35" ht="15.75" x14ac:dyDescent="0.2">
      <c r="A38" s="38">
        <f t="shared" si="0"/>
        <v>46230</v>
      </c>
      <c r="B38" s="39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</row>
    <row r="39" spans="1:35" ht="15.75" x14ac:dyDescent="0.2">
      <c r="A39" s="38">
        <f t="shared" si="0"/>
        <v>46231</v>
      </c>
      <c r="B39" s="39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</row>
    <row r="40" spans="1:35" ht="15.75" x14ac:dyDescent="0.2">
      <c r="A40" s="38">
        <f>IF(A39="","",IF(A39=EOMONTH(DATE($N$6,$K$6,1),0),"",A39+1))</f>
        <v>46232</v>
      </c>
      <c r="B40" s="39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</row>
    <row r="41" spans="1:35" ht="15.75" x14ac:dyDescent="0.2">
      <c r="A41" s="38">
        <f>IF(A40="","",IF(A40=EOMONTH(DATE($N$6,$K$6,1),0),"",A40+1))</f>
        <v>46233</v>
      </c>
      <c r="B41" s="39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</row>
    <row r="42" spans="1:35" ht="15.75" x14ac:dyDescent="0.2">
      <c r="A42" s="38">
        <f>IF(A41="","",IF(A41=EOMONTH(DATE($N$6,$K$6,1),0),"",A41+1))</f>
        <v>46234</v>
      </c>
      <c r="B42" s="39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</row>
    <row r="43" spans="1:35" ht="13.5" x14ac:dyDescent="0.25">
      <c r="A43" s="9" t="s">
        <v>101</v>
      </c>
      <c r="B43" s="40" t="s">
        <v>102</v>
      </c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</row>
    <row r="44" spans="1:35" x14ac:dyDescent="0.2">
      <c r="A44" s="11"/>
      <c r="B44" s="10" t="s">
        <v>103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 t="s">
        <v>104</v>
      </c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AI4"/>
    <mergeCell ref="A5:AI5"/>
    <mergeCell ref="N6:O6"/>
    <mergeCell ref="A8:A11"/>
    <mergeCell ref="B8:P8"/>
    <mergeCell ref="AI8:AI11"/>
    <mergeCell ref="A1:A3"/>
    <mergeCell ref="B1:M3"/>
    <mergeCell ref="N1:AI1"/>
    <mergeCell ref="N2:P2"/>
    <mergeCell ref="Q2:AH2"/>
    <mergeCell ref="N3:P3"/>
    <mergeCell ref="Q3:AH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71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zoomScale="70" zoomScaleNormal="70" workbookViewId="0">
      <selection activeCell="G28" sqref="G28"/>
    </sheetView>
  </sheetViews>
  <sheetFormatPr defaultRowHeight="12.75" x14ac:dyDescent="0.2"/>
  <cols>
    <col min="1" max="2" width="23.5" bestFit="1" customWidth="1"/>
    <col min="3" max="3" width="37.83203125" bestFit="1" customWidth="1"/>
    <col min="4" max="4" width="38.6640625" bestFit="1" customWidth="1"/>
    <col min="5" max="5" width="37.5" bestFit="1" customWidth="1"/>
    <col min="6" max="6" width="32.33203125" bestFit="1" customWidth="1"/>
    <col min="7" max="7" width="43.6640625" bestFit="1" customWidth="1"/>
    <col min="8" max="8" width="32.33203125" bestFit="1" customWidth="1"/>
    <col min="9" max="9" width="44" bestFit="1" customWidth="1"/>
    <col min="10" max="10" width="41.6640625" bestFit="1" customWidth="1"/>
    <col min="11" max="11" width="32.83203125" bestFit="1" customWidth="1"/>
    <col min="12" max="12" width="6.33203125" bestFit="1" customWidth="1"/>
    <col min="13" max="13" width="7.5" bestFit="1" customWidth="1"/>
    <col min="14" max="14" width="6.33203125" bestFit="1" customWidth="1"/>
    <col min="15" max="15" width="15.1640625" bestFit="1" customWidth="1"/>
    <col min="16" max="17" width="6.33203125" bestFit="1" customWidth="1"/>
    <col min="18" max="19" width="44.1640625" bestFit="1" customWidth="1"/>
    <col min="20" max="20" width="25.6640625" bestFit="1" customWidth="1"/>
    <col min="21" max="21" width="26.33203125" bestFit="1" customWidth="1"/>
    <col min="22" max="22" width="37.83203125" bestFit="1" customWidth="1"/>
    <col min="23" max="27" width="26.33203125" bestFit="1" customWidth="1"/>
    <col min="28" max="28" width="46.6640625" bestFit="1" customWidth="1"/>
    <col min="29" max="29" width="44.1640625" bestFit="1" customWidth="1"/>
    <col min="30" max="31" width="45.33203125" bestFit="1" customWidth="1"/>
    <col min="32" max="33" width="44.6640625" bestFit="1" customWidth="1"/>
    <col min="34" max="34" width="20.6640625" bestFit="1" customWidth="1"/>
    <col min="35" max="35" width="14.6640625" bestFit="1" customWidth="1"/>
  </cols>
  <sheetData>
    <row r="1" spans="1:35" x14ac:dyDescent="0.2">
      <c r="A1" s="12" t="s">
        <v>0</v>
      </c>
      <c r="B1" s="13" t="s">
        <v>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5"/>
      <c r="N1" s="22" t="s">
        <v>2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4"/>
    </row>
    <row r="2" spans="1:35" x14ac:dyDescent="0.2">
      <c r="A2" s="12"/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  <c r="N2" s="22" t="s">
        <v>3</v>
      </c>
      <c r="O2" s="23"/>
      <c r="P2" s="24"/>
      <c r="Q2" s="22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1" t="s">
        <v>4</v>
      </c>
    </row>
    <row r="3" spans="1:35" x14ac:dyDescent="0.2">
      <c r="A3" s="12"/>
      <c r="B3" s="19"/>
      <c r="C3" s="20"/>
      <c r="D3" s="20"/>
      <c r="E3" s="20"/>
      <c r="F3" s="20"/>
      <c r="G3" s="20"/>
      <c r="H3" s="20"/>
      <c r="I3" s="20"/>
      <c r="J3" s="20"/>
      <c r="K3" s="20"/>
      <c r="L3" s="20"/>
      <c r="M3" s="21"/>
      <c r="N3" s="22" t="s">
        <v>5</v>
      </c>
      <c r="O3" s="23"/>
      <c r="P3" s="24"/>
      <c r="Q3" s="22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1" t="s">
        <v>6</v>
      </c>
    </row>
    <row r="4" spans="1:35" x14ac:dyDescent="0.2">
      <c r="A4" s="25" t="s">
        <v>7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7"/>
    </row>
    <row r="5" spans="1:35" ht="18.75" x14ac:dyDescent="0.2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</row>
    <row r="6" spans="1:35" ht="15.75" x14ac:dyDescent="0.25">
      <c r="A6" s="2" t="s">
        <v>8</v>
      </c>
      <c r="B6" s="3"/>
      <c r="C6" s="3"/>
      <c r="D6" s="3"/>
      <c r="E6" s="3"/>
      <c r="F6" s="3"/>
      <c r="G6" s="3"/>
      <c r="H6" s="3"/>
      <c r="I6" s="3"/>
      <c r="J6" s="3" t="s">
        <v>9</v>
      </c>
      <c r="K6" s="3">
        <v>8</v>
      </c>
      <c r="L6" s="3"/>
      <c r="M6" s="3" t="s">
        <v>10</v>
      </c>
      <c r="N6" s="29">
        <v>2026</v>
      </c>
      <c r="O6" s="29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30" t="s">
        <v>11</v>
      </c>
      <c r="B8" s="32" t="s">
        <v>12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35" t="s">
        <v>13</v>
      </c>
    </row>
    <row r="9" spans="1:35" x14ac:dyDescent="0.2">
      <c r="A9" s="30"/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23</v>
      </c>
      <c r="L9" s="5" t="s">
        <v>24</v>
      </c>
      <c r="M9" s="5" t="s">
        <v>25</v>
      </c>
      <c r="N9" s="5" t="s">
        <v>26</v>
      </c>
      <c r="O9" s="5" t="s">
        <v>27</v>
      </c>
      <c r="P9" s="5" t="s">
        <v>28</v>
      </c>
      <c r="Q9" s="5" t="s">
        <v>29</v>
      </c>
      <c r="R9" s="5" t="s">
        <v>30</v>
      </c>
      <c r="S9" s="5" t="s">
        <v>31</v>
      </c>
      <c r="T9" s="5" t="s">
        <v>32</v>
      </c>
      <c r="U9" s="5" t="s">
        <v>33</v>
      </c>
      <c r="V9" s="5" t="s">
        <v>34</v>
      </c>
      <c r="W9" s="5" t="s">
        <v>35</v>
      </c>
      <c r="X9" s="5" t="s">
        <v>36</v>
      </c>
      <c r="Y9" s="5" t="s">
        <v>37</v>
      </c>
      <c r="Z9" s="5" t="s">
        <v>38</v>
      </c>
      <c r="AA9" s="5" t="s">
        <v>39</v>
      </c>
      <c r="AB9" s="5" t="s">
        <v>40</v>
      </c>
      <c r="AC9" s="5" t="s">
        <v>41</v>
      </c>
      <c r="AD9" s="5" t="s">
        <v>42</v>
      </c>
      <c r="AE9" s="5" t="s">
        <v>43</v>
      </c>
      <c r="AF9" s="5" t="s">
        <v>44</v>
      </c>
      <c r="AG9" s="5" t="s">
        <v>45</v>
      </c>
      <c r="AH9" s="5" t="s">
        <v>46</v>
      </c>
      <c r="AI9" s="36"/>
    </row>
    <row r="10" spans="1:35" ht="15" x14ac:dyDescent="0.25">
      <c r="A10" s="30"/>
      <c r="B10" s="6" t="s">
        <v>47</v>
      </c>
      <c r="C10" s="7" t="s">
        <v>48</v>
      </c>
      <c r="D10" s="7" t="s">
        <v>49</v>
      </c>
      <c r="E10" s="7" t="s">
        <v>50</v>
      </c>
      <c r="F10" s="7" t="s">
        <v>51</v>
      </c>
      <c r="G10" s="7" t="s">
        <v>52</v>
      </c>
      <c r="H10" s="7" t="s">
        <v>53</v>
      </c>
      <c r="I10" s="7" t="s">
        <v>54</v>
      </c>
      <c r="J10" s="7" t="s">
        <v>55</v>
      </c>
      <c r="K10" s="7" t="s">
        <v>56</v>
      </c>
      <c r="L10" s="7"/>
      <c r="M10" s="7"/>
      <c r="N10" s="7"/>
      <c r="O10" s="7"/>
      <c r="P10" s="7"/>
      <c r="Q10" s="7"/>
      <c r="R10" s="7" t="s">
        <v>57</v>
      </c>
      <c r="S10" s="7" t="s">
        <v>58</v>
      </c>
      <c r="T10" s="7" t="s">
        <v>59</v>
      </c>
      <c r="U10" s="7" t="s">
        <v>60</v>
      </c>
      <c r="V10" s="7" t="s">
        <v>61</v>
      </c>
      <c r="W10" s="7" t="s">
        <v>62</v>
      </c>
      <c r="X10" s="7" t="s">
        <v>63</v>
      </c>
      <c r="Y10" s="7" t="s">
        <v>64</v>
      </c>
      <c r="Z10" s="7" t="s">
        <v>65</v>
      </c>
      <c r="AA10" s="7" t="s">
        <v>66</v>
      </c>
      <c r="AB10" s="7" t="s">
        <v>67</v>
      </c>
      <c r="AC10" s="7" t="s">
        <v>68</v>
      </c>
      <c r="AD10" s="7" t="s">
        <v>69</v>
      </c>
      <c r="AE10" s="7" t="s">
        <v>70</v>
      </c>
      <c r="AF10" s="7" t="s">
        <v>71</v>
      </c>
      <c r="AG10" s="7" t="s">
        <v>72</v>
      </c>
      <c r="AH10" s="7" t="s">
        <v>73</v>
      </c>
      <c r="AI10" s="36"/>
    </row>
    <row r="11" spans="1:35" ht="15" x14ac:dyDescent="0.25">
      <c r="A11" s="31"/>
      <c r="B11" s="6" t="s">
        <v>74</v>
      </c>
      <c r="C11" s="7" t="s">
        <v>75</v>
      </c>
      <c r="D11" s="7" t="s">
        <v>76</v>
      </c>
      <c r="E11" s="7" t="s">
        <v>77</v>
      </c>
      <c r="F11" s="7" t="s">
        <v>78</v>
      </c>
      <c r="G11" s="7" t="s">
        <v>79</v>
      </c>
      <c r="H11" s="7" t="s">
        <v>80</v>
      </c>
      <c r="I11" s="7" t="s">
        <v>81</v>
      </c>
      <c r="J11" s="7" t="s">
        <v>82</v>
      </c>
      <c r="K11" s="7" t="s">
        <v>83</v>
      </c>
      <c r="L11" s="7"/>
      <c r="M11" s="7"/>
      <c r="N11" s="7"/>
      <c r="O11" s="7"/>
      <c r="P11" s="7"/>
      <c r="Q11" s="7"/>
      <c r="R11" s="7" t="s">
        <v>84</v>
      </c>
      <c r="S11" s="7" t="s">
        <v>85</v>
      </c>
      <c r="T11" s="7" t="s">
        <v>86</v>
      </c>
      <c r="U11" s="7" t="s">
        <v>87</v>
      </c>
      <c r="V11" s="7" t="s">
        <v>88</v>
      </c>
      <c r="W11" s="7" t="s">
        <v>89</v>
      </c>
      <c r="X11" s="7" t="s">
        <v>90</v>
      </c>
      <c r="Y11" s="7" t="s">
        <v>91</v>
      </c>
      <c r="Z11" s="7" t="s">
        <v>92</v>
      </c>
      <c r="AA11" s="7" t="s">
        <v>93</v>
      </c>
      <c r="AB11" s="7" t="s">
        <v>94</v>
      </c>
      <c r="AC11" s="7" t="s">
        <v>95</v>
      </c>
      <c r="AD11" s="7" t="s">
        <v>96</v>
      </c>
      <c r="AE11" s="7" t="s">
        <v>97</v>
      </c>
      <c r="AF11" s="7" t="s">
        <v>98</v>
      </c>
      <c r="AG11" s="7" t="s">
        <v>99</v>
      </c>
      <c r="AH11" s="7" t="s">
        <v>100</v>
      </c>
      <c r="AI11" s="37"/>
    </row>
    <row r="12" spans="1:35" ht="15.75" x14ac:dyDescent="0.2">
      <c r="A12" s="38">
        <f>DATE(N6,K6,1)</f>
        <v>46235</v>
      </c>
      <c r="B12" s="39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</row>
    <row r="13" spans="1:35" ht="15.75" x14ac:dyDescent="0.2">
      <c r="A13" s="38">
        <f>A12+1</f>
        <v>46236</v>
      </c>
      <c r="B13" s="39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</row>
    <row r="14" spans="1:35" ht="15.75" x14ac:dyDescent="0.2">
      <c r="A14" s="38">
        <f t="shared" ref="A14:A39" si="0">A13+1</f>
        <v>46237</v>
      </c>
      <c r="B14" s="39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</row>
    <row r="15" spans="1:35" ht="15.75" x14ac:dyDescent="0.2">
      <c r="A15" s="38">
        <f t="shared" si="0"/>
        <v>46238</v>
      </c>
      <c r="B15" s="39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</row>
    <row r="16" spans="1:35" ht="15.75" x14ac:dyDescent="0.2">
      <c r="A16" s="38">
        <f t="shared" si="0"/>
        <v>46239</v>
      </c>
      <c r="B16" s="39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</row>
    <row r="17" spans="1:35" ht="15.75" x14ac:dyDescent="0.2">
      <c r="A17" s="38">
        <f t="shared" si="0"/>
        <v>46240</v>
      </c>
      <c r="B17" s="39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</row>
    <row r="18" spans="1:35" ht="15.75" x14ac:dyDescent="0.2">
      <c r="A18" s="38">
        <f t="shared" si="0"/>
        <v>46241</v>
      </c>
      <c r="B18" s="39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</row>
    <row r="19" spans="1:35" ht="15.75" x14ac:dyDescent="0.2">
      <c r="A19" s="38">
        <f t="shared" si="0"/>
        <v>46242</v>
      </c>
      <c r="B19" s="39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</row>
    <row r="20" spans="1:35" ht="15.75" x14ac:dyDescent="0.2">
      <c r="A20" s="38">
        <f t="shared" si="0"/>
        <v>46243</v>
      </c>
      <c r="B20" s="39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</row>
    <row r="21" spans="1:35" ht="15.75" x14ac:dyDescent="0.2">
      <c r="A21" s="38">
        <f t="shared" si="0"/>
        <v>46244</v>
      </c>
      <c r="B21" s="39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</row>
    <row r="22" spans="1:35" ht="15.75" x14ac:dyDescent="0.2">
      <c r="A22" s="38">
        <f t="shared" si="0"/>
        <v>46245</v>
      </c>
      <c r="B22" s="39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</row>
    <row r="23" spans="1:35" ht="15.75" x14ac:dyDescent="0.2">
      <c r="A23" s="38">
        <f t="shared" si="0"/>
        <v>46246</v>
      </c>
      <c r="B23" s="39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</row>
    <row r="24" spans="1:35" ht="15.75" x14ac:dyDescent="0.2">
      <c r="A24" s="38">
        <f t="shared" si="0"/>
        <v>46247</v>
      </c>
      <c r="B24" s="39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</row>
    <row r="25" spans="1:35" ht="15.75" x14ac:dyDescent="0.2">
      <c r="A25" s="38">
        <f t="shared" si="0"/>
        <v>46248</v>
      </c>
      <c r="B25" s="39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</row>
    <row r="26" spans="1:35" ht="15.75" x14ac:dyDescent="0.2">
      <c r="A26" s="38">
        <f t="shared" si="0"/>
        <v>46249</v>
      </c>
      <c r="B26" s="39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</row>
    <row r="27" spans="1:35" ht="15.75" x14ac:dyDescent="0.2">
      <c r="A27" s="38">
        <f t="shared" si="0"/>
        <v>46250</v>
      </c>
      <c r="B27" s="39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</row>
    <row r="28" spans="1:35" ht="15.75" x14ac:dyDescent="0.2">
      <c r="A28" s="38">
        <f t="shared" si="0"/>
        <v>46251</v>
      </c>
      <c r="B28" s="39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</row>
    <row r="29" spans="1:35" ht="15.75" x14ac:dyDescent="0.2">
      <c r="A29" s="38">
        <f t="shared" si="0"/>
        <v>46252</v>
      </c>
      <c r="B29" s="39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</row>
    <row r="30" spans="1:35" ht="15.75" x14ac:dyDescent="0.2">
      <c r="A30" s="38">
        <f t="shared" si="0"/>
        <v>46253</v>
      </c>
      <c r="B30" s="39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</row>
    <row r="31" spans="1:35" ht="15.75" x14ac:dyDescent="0.2">
      <c r="A31" s="38">
        <f t="shared" si="0"/>
        <v>46254</v>
      </c>
      <c r="B31" s="39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</row>
    <row r="32" spans="1:35" ht="15.75" x14ac:dyDescent="0.2">
      <c r="A32" s="38">
        <f t="shared" si="0"/>
        <v>46255</v>
      </c>
      <c r="B32" s="39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</row>
    <row r="33" spans="1:35" ht="15.75" x14ac:dyDescent="0.2">
      <c r="A33" s="38">
        <f t="shared" si="0"/>
        <v>46256</v>
      </c>
      <c r="B33" s="39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</row>
    <row r="34" spans="1:35" ht="15.75" x14ac:dyDescent="0.2">
      <c r="A34" s="38">
        <f>A33+1</f>
        <v>46257</v>
      </c>
      <c r="B34" s="39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</row>
    <row r="35" spans="1:35" ht="15.75" x14ac:dyDescent="0.2">
      <c r="A35" s="38">
        <f t="shared" si="0"/>
        <v>46258</v>
      </c>
      <c r="B35" s="39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</row>
    <row r="36" spans="1:35" ht="15.75" x14ac:dyDescent="0.2">
      <c r="A36" s="38">
        <f t="shared" si="0"/>
        <v>46259</v>
      </c>
      <c r="B36" s="39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</row>
    <row r="37" spans="1:35" ht="15.75" x14ac:dyDescent="0.2">
      <c r="A37" s="38">
        <f t="shared" si="0"/>
        <v>46260</v>
      </c>
      <c r="B37" s="39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</row>
    <row r="38" spans="1:35" ht="15.75" x14ac:dyDescent="0.2">
      <c r="A38" s="38">
        <f t="shared" si="0"/>
        <v>46261</v>
      </c>
      <c r="B38" s="39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</row>
    <row r="39" spans="1:35" ht="15.75" x14ac:dyDescent="0.2">
      <c r="A39" s="38">
        <f t="shared" si="0"/>
        <v>46262</v>
      </c>
      <c r="B39" s="39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</row>
    <row r="40" spans="1:35" ht="15.75" x14ac:dyDescent="0.2">
      <c r="A40" s="38">
        <f>IF(A39="","",IF(A39=EOMONTH(DATE($N$6,$K$6,1),0),"",A39+1))</f>
        <v>46263</v>
      </c>
      <c r="B40" s="39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</row>
    <row r="41" spans="1:35" ht="15.75" x14ac:dyDescent="0.2">
      <c r="A41" s="38">
        <f>IF(A40="","",IF(A40=EOMONTH(DATE($N$6,$K$6,1),0),"",A40+1))</f>
        <v>46264</v>
      </c>
      <c r="B41" s="39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</row>
    <row r="42" spans="1:35" ht="15.75" x14ac:dyDescent="0.2">
      <c r="A42" s="38">
        <f>IF(A41="","",IF(A41=EOMONTH(DATE($N$6,$K$6,1),0),"",A41+1))</f>
        <v>46265</v>
      </c>
      <c r="B42" s="39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</row>
    <row r="43" spans="1:35" ht="13.5" x14ac:dyDescent="0.25">
      <c r="A43" s="9" t="s">
        <v>101</v>
      </c>
      <c r="B43" s="40" t="s">
        <v>102</v>
      </c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</row>
    <row r="44" spans="1:35" x14ac:dyDescent="0.2">
      <c r="A44" s="11"/>
      <c r="B44" s="10" t="s">
        <v>103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 t="s">
        <v>104</v>
      </c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AI4"/>
    <mergeCell ref="A5:AI5"/>
    <mergeCell ref="N6:O6"/>
    <mergeCell ref="A8:A11"/>
    <mergeCell ref="B8:P8"/>
    <mergeCell ref="AI8:AI11"/>
    <mergeCell ref="A1:A3"/>
    <mergeCell ref="B1:M3"/>
    <mergeCell ref="N1:AI1"/>
    <mergeCell ref="N2:P2"/>
    <mergeCell ref="Q2:AH2"/>
    <mergeCell ref="N3:P3"/>
    <mergeCell ref="Q3:AH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5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zoomScale="70" zoomScaleNormal="70" workbookViewId="0">
      <selection activeCell="G29" sqref="G29"/>
    </sheetView>
  </sheetViews>
  <sheetFormatPr defaultRowHeight="12.75" x14ac:dyDescent="0.2"/>
  <cols>
    <col min="1" max="2" width="23.5" bestFit="1" customWidth="1"/>
    <col min="3" max="3" width="37.83203125" bestFit="1" customWidth="1"/>
    <col min="4" max="4" width="38.6640625" bestFit="1" customWidth="1"/>
    <col min="5" max="5" width="37.5" bestFit="1" customWidth="1"/>
    <col min="6" max="6" width="32.33203125" bestFit="1" customWidth="1"/>
    <col min="7" max="7" width="43.6640625" bestFit="1" customWidth="1"/>
    <col min="8" max="8" width="32.33203125" bestFit="1" customWidth="1"/>
    <col min="9" max="9" width="44" bestFit="1" customWidth="1"/>
    <col min="10" max="10" width="41.6640625" bestFit="1" customWidth="1"/>
    <col min="11" max="11" width="32.83203125" bestFit="1" customWidth="1"/>
    <col min="12" max="12" width="6.33203125" bestFit="1" customWidth="1"/>
    <col min="13" max="13" width="7.5" bestFit="1" customWidth="1"/>
    <col min="14" max="14" width="6.33203125" bestFit="1" customWidth="1"/>
    <col min="15" max="15" width="15.1640625" bestFit="1" customWidth="1"/>
    <col min="16" max="17" width="6.33203125" bestFit="1" customWidth="1"/>
    <col min="18" max="19" width="44.1640625" bestFit="1" customWidth="1"/>
    <col min="20" max="20" width="25.6640625" bestFit="1" customWidth="1"/>
    <col min="21" max="21" width="26.33203125" bestFit="1" customWidth="1"/>
    <col min="22" max="22" width="37.83203125" bestFit="1" customWidth="1"/>
    <col min="23" max="27" width="26.33203125" bestFit="1" customWidth="1"/>
    <col min="28" max="28" width="46.6640625" bestFit="1" customWidth="1"/>
    <col min="29" max="29" width="44.1640625" bestFit="1" customWidth="1"/>
    <col min="30" max="31" width="45.33203125" bestFit="1" customWidth="1"/>
    <col min="32" max="33" width="44.6640625" bestFit="1" customWidth="1"/>
    <col min="34" max="34" width="20.6640625" bestFit="1" customWidth="1"/>
    <col min="35" max="35" width="14.6640625" bestFit="1" customWidth="1"/>
  </cols>
  <sheetData>
    <row r="1" spans="1:35" x14ac:dyDescent="0.2">
      <c r="A1" s="12" t="s">
        <v>0</v>
      </c>
      <c r="B1" s="13" t="s">
        <v>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5"/>
      <c r="N1" s="22" t="s">
        <v>2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4"/>
    </row>
    <row r="2" spans="1:35" x14ac:dyDescent="0.2">
      <c r="A2" s="12"/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  <c r="N2" s="22" t="s">
        <v>3</v>
      </c>
      <c r="O2" s="23"/>
      <c r="P2" s="24"/>
      <c r="Q2" s="22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1" t="s">
        <v>4</v>
      </c>
    </row>
    <row r="3" spans="1:35" x14ac:dyDescent="0.2">
      <c r="A3" s="12"/>
      <c r="B3" s="19"/>
      <c r="C3" s="20"/>
      <c r="D3" s="20"/>
      <c r="E3" s="20"/>
      <c r="F3" s="20"/>
      <c r="G3" s="20"/>
      <c r="H3" s="20"/>
      <c r="I3" s="20"/>
      <c r="J3" s="20"/>
      <c r="K3" s="20"/>
      <c r="L3" s="20"/>
      <c r="M3" s="21"/>
      <c r="N3" s="22" t="s">
        <v>5</v>
      </c>
      <c r="O3" s="23"/>
      <c r="P3" s="24"/>
      <c r="Q3" s="22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1" t="s">
        <v>6</v>
      </c>
    </row>
    <row r="4" spans="1:35" x14ac:dyDescent="0.2">
      <c r="A4" s="25" t="s">
        <v>7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7"/>
    </row>
    <row r="5" spans="1:35" ht="18.75" x14ac:dyDescent="0.2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</row>
    <row r="6" spans="1:35" ht="15.75" x14ac:dyDescent="0.25">
      <c r="A6" s="2" t="s">
        <v>8</v>
      </c>
      <c r="B6" s="3"/>
      <c r="C6" s="3"/>
      <c r="D6" s="3"/>
      <c r="E6" s="3"/>
      <c r="F6" s="3"/>
      <c r="G6" s="3"/>
      <c r="H6" s="3"/>
      <c r="I6" s="3"/>
      <c r="J6" s="3" t="s">
        <v>9</v>
      </c>
      <c r="K6" s="3">
        <v>9</v>
      </c>
      <c r="L6" s="3"/>
      <c r="M6" s="3" t="s">
        <v>10</v>
      </c>
      <c r="N6" s="29">
        <v>2026</v>
      </c>
      <c r="O6" s="29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30" t="s">
        <v>11</v>
      </c>
      <c r="B8" s="32" t="s">
        <v>12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35" t="s">
        <v>13</v>
      </c>
    </row>
    <row r="9" spans="1:35" x14ac:dyDescent="0.2">
      <c r="A9" s="30"/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23</v>
      </c>
      <c r="L9" s="5" t="s">
        <v>24</v>
      </c>
      <c r="M9" s="5" t="s">
        <v>25</v>
      </c>
      <c r="N9" s="5" t="s">
        <v>26</v>
      </c>
      <c r="O9" s="5" t="s">
        <v>27</v>
      </c>
      <c r="P9" s="5" t="s">
        <v>28</v>
      </c>
      <c r="Q9" s="5" t="s">
        <v>29</v>
      </c>
      <c r="R9" s="5" t="s">
        <v>30</v>
      </c>
      <c r="S9" s="5" t="s">
        <v>31</v>
      </c>
      <c r="T9" s="5" t="s">
        <v>32</v>
      </c>
      <c r="U9" s="5" t="s">
        <v>33</v>
      </c>
      <c r="V9" s="5" t="s">
        <v>34</v>
      </c>
      <c r="W9" s="5" t="s">
        <v>35</v>
      </c>
      <c r="X9" s="5" t="s">
        <v>36</v>
      </c>
      <c r="Y9" s="5" t="s">
        <v>37</v>
      </c>
      <c r="Z9" s="5" t="s">
        <v>38</v>
      </c>
      <c r="AA9" s="5" t="s">
        <v>39</v>
      </c>
      <c r="AB9" s="5" t="s">
        <v>40</v>
      </c>
      <c r="AC9" s="5" t="s">
        <v>41</v>
      </c>
      <c r="AD9" s="5" t="s">
        <v>42</v>
      </c>
      <c r="AE9" s="5" t="s">
        <v>43</v>
      </c>
      <c r="AF9" s="5" t="s">
        <v>44</v>
      </c>
      <c r="AG9" s="5" t="s">
        <v>45</v>
      </c>
      <c r="AH9" s="5" t="s">
        <v>46</v>
      </c>
      <c r="AI9" s="36"/>
    </row>
    <row r="10" spans="1:35" ht="15" x14ac:dyDescent="0.25">
      <c r="A10" s="30"/>
      <c r="B10" s="6" t="s">
        <v>47</v>
      </c>
      <c r="C10" s="7" t="s">
        <v>48</v>
      </c>
      <c r="D10" s="7" t="s">
        <v>49</v>
      </c>
      <c r="E10" s="7" t="s">
        <v>50</v>
      </c>
      <c r="F10" s="7" t="s">
        <v>51</v>
      </c>
      <c r="G10" s="7" t="s">
        <v>52</v>
      </c>
      <c r="H10" s="7" t="s">
        <v>53</v>
      </c>
      <c r="I10" s="7" t="s">
        <v>54</v>
      </c>
      <c r="J10" s="7" t="s">
        <v>55</v>
      </c>
      <c r="K10" s="7" t="s">
        <v>56</v>
      </c>
      <c r="L10" s="7"/>
      <c r="M10" s="7"/>
      <c r="N10" s="7"/>
      <c r="O10" s="7"/>
      <c r="P10" s="7"/>
      <c r="Q10" s="7"/>
      <c r="R10" s="7" t="s">
        <v>57</v>
      </c>
      <c r="S10" s="7" t="s">
        <v>58</v>
      </c>
      <c r="T10" s="7" t="s">
        <v>59</v>
      </c>
      <c r="U10" s="7" t="s">
        <v>60</v>
      </c>
      <c r="V10" s="7" t="s">
        <v>61</v>
      </c>
      <c r="W10" s="7" t="s">
        <v>62</v>
      </c>
      <c r="X10" s="7" t="s">
        <v>63</v>
      </c>
      <c r="Y10" s="7" t="s">
        <v>64</v>
      </c>
      <c r="Z10" s="7" t="s">
        <v>65</v>
      </c>
      <c r="AA10" s="7" t="s">
        <v>66</v>
      </c>
      <c r="AB10" s="7" t="s">
        <v>67</v>
      </c>
      <c r="AC10" s="7" t="s">
        <v>68</v>
      </c>
      <c r="AD10" s="7" t="s">
        <v>69</v>
      </c>
      <c r="AE10" s="7" t="s">
        <v>70</v>
      </c>
      <c r="AF10" s="7" t="s">
        <v>71</v>
      </c>
      <c r="AG10" s="7" t="s">
        <v>72</v>
      </c>
      <c r="AH10" s="7" t="s">
        <v>73</v>
      </c>
      <c r="AI10" s="36"/>
    </row>
    <row r="11" spans="1:35" ht="15" x14ac:dyDescent="0.25">
      <c r="A11" s="31"/>
      <c r="B11" s="6" t="s">
        <v>74</v>
      </c>
      <c r="C11" s="7" t="s">
        <v>75</v>
      </c>
      <c r="D11" s="7" t="s">
        <v>76</v>
      </c>
      <c r="E11" s="7" t="s">
        <v>77</v>
      </c>
      <c r="F11" s="7" t="s">
        <v>78</v>
      </c>
      <c r="G11" s="7" t="s">
        <v>79</v>
      </c>
      <c r="H11" s="7" t="s">
        <v>80</v>
      </c>
      <c r="I11" s="7" t="s">
        <v>81</v>
      </c>
      <c r="J11" s="7" t="s">
        <v>82</v>
      </c>
      <c r="K11" s="7" t="s">
        <v>83</v>
      </c>
      <c r="L11" s="7"/>
      <c r="M11" s="7"/>
      <c r="N11" s="7"/>
      <c r="O11" s="7"/>
      <c r="P11" s="7"/>
      <c r="Q11" s="7"/>
      <c r="R11" s="7" t="s">
        <v>84</v>
      </c>
      <c r="S11" s="7" t="s">
        <v>85</v>
      </c>
      <c r="T11" s="7" t="s">
        <v>86</v>
      </c>
      <c r="U11" s="7" t="s">
        <v>87</v>
      </c>
      <c r="V11" s="7" t="s">
        <v>88</v>
      </c>
      <c r="W11" s="7" t="s">
        <v>89</v>
      </c>
      <c r="X11" s="7" t="s">
        <v>90</v>
      </c>
      <c r="Y11" s="7" t="s">
        <v>91</v>
      </c>
      <c r="Z11" s="7" t="s">
        <v>92</v>
      </c>
      <c r="AA11" s="7" t="s">
        <v>93</v>
      </c>
      <c r="AB11" s="7" t="s">
        <v>94</v>
      </c>
      <c r="AC11" s="7" t="s">
        <v>95</v>
      </c>
      <c r="AD11" s="7" t="s">
        <v>96</v>
      </c>
      <c r="AE11" s="7" t="s">
        <v>97</v>
      </c>
      <c r="AF11" s="7" t="s">
        <v>98</v>
      </c>
      <c r="AG11" s="7" t="s">
        <v>99</v>
      </c>
      <c r="AH11" s="7" t="s">
        <v>100</v>
      </c>
      <c r="AI11" s="37"/>
    </row>
    <row r="12" spans="1:35" ht="15.75" x14ac:dyDescent="0.2">
      <c r="A12" s="38">
        <f>DATE(N6,K6,1)</f>
        <v>46266</v>
      </c>
      <c r="B12" s="39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</row>
    <row r="13" spans="1:35" ht="15.75" x14ac:dyDescent="0.2">
      <c r="A13" s="38">
        <f>A12+1</f>
        <v>46267</v>
      </c>
      <c r="B13" s="39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</row>
    <row r="14" spans="1:35" ht="15.75" x14ac:dyDescent="0.2">
      <c r="A14" s="38">
        <f t="shared" ref="A14:A39" si="0">A13+1</f>
        <v>46268</v>
      </c>
      <c r="B14" s="39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</row>
    <row r="15" spans="1:35" ht="15.75" x14ac:dyDescent="0.2">
      <c r="A15" s="38">
        <f t="shared" si="0"/>
        <v>46269</v>
      </c>
      <c r="B15" s="39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</row>
    <row r="16" spans="1:35" ht="15.75" x14ac:dyDescent="0.2">
      <c r="A16" s="38">
        <f t="shared" si="0"/>
        <v>46270</v>
      </c>
      <c r="B16" s="39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</row>
    <row r="17" spans="1:35" ht="15.75" x14ac:dyDescent="0.2">
      <c r="A17" s="38">
        <f t="shared" si="0"/>
        <v>46271</v>
      </c>
      <c r="B17" s="39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</row>
    <row r="18" spans="1:35" ht="15.75" x14ac:dyDescent="0.2">
      <c r="A18" s="38">
        <f t="shared" si="0"/>
        <v>46272</v>
      </c>
      <c r="B18" s="39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</row>
    <row r="19" spans="1:35" ht="15.75" x14ac:dyDescent="0.2">
      <c r="A19" s="38">
        <f t="shared" si="0"/>
        <v>46273</v>
      </c>
      <c r="B19" s="39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</row>
    <row r="20" spans="1:35" ht="15.75" x14ac:dyDescent="0.2">
      <c r="A20" s="38">
        <f t="shared" si="0"/>
        <v>46274</v>
      </c>
      <c r="B20" s="39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</row>
    <row r="21" spans="1:35" ht="15.75" x14ac:dyDescent="0.2">
      <c r="A21" s="38">
        <f t="shared" si="0"/>
        <v>46275</v>
      </c>
      <c r="B21" s="39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</row>
    <row r="22" spans="1:35" ht="15.75" x14ac:dyDescent="0.2">
      <c r="A22" s="38">
        <f t="shared" si="0"/>
        <v>46276</v>
      </c>
      <c r="B22" s="39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</row>
    <row r="23" spans="1:35" ht="15.75" x14ac:dyDescent="0.2">
      <c r="A23" s="38">
        <f t="shared" si="0"/>
        <v>46277</v>
      </c>
      <c r="B23" s="39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</row>
    <row r="24" spans="1:35" ht="15.75" x14ac:dyDescent="0.2">
      <c r="A24" s="38">
        <f t="shared" si="0"/>
        <v>46278</v>
      </c>
      <c r="B24" s="39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</row>
    <row r="25" spans="1:35" ht="15.75" x14ac:dyDescent="0.2">
      <c r="A25" s="38">
        <f t="shared" si="0"/>
        <v>46279</v>
      </c>
      <c r="B25" s="39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</row>
    <row r="26" spans="1:35" ht="15.75" x14ac:dyDescent="0.2">
      <c r="A26" s="38">
        <f t="shared" si="0"/>
        <v>46280</v>
      </c>
      <c r="B26" s="39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</row>
    <row r="27" spans="1:35" ht="15.75" x14ac:dyDescent="0.2">
      <c r="A27" s="38">
        <f t="shared" si="0"/>
        <v>46281</v>
      </c>
      <c r="B27" s="39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</row>
    <row r="28" spans="1:35" ht="15.75" x14ac:dyDescent="0.2">
      <c r="A28" s="38">
        <f t="shared" si="0"/>
        <v>46282</v>
      </c>
      <c r="B28" s="39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</row>
    <row r="29" spans="1:35" ht="15.75" x14ac:dyDescent="0.2">
      <c r="A29" s="38">
        <f t="shared" si="0"/>
        <v>46283</v>
      </c>
      <c r="B29" s="39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</row>
    <row r="30" spans="1:35" ht="15.75" x14ac:dyDescent="0.2">
      <c r="A30" s="38">
        <f t="shared" si="0"/>
        <v>46284</v>
      </c>
      <c r="B30" s="39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</row>
    <row r="31" spans="1:35" ht="15.75" x14ac:dyDescent="0.2">
      <c r="A31" s="38">
        <f t="shared" si="0"/>
        <v>46285</v>
      </c>
      <c r="B31" s="39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</row>
    <row r="32" spans="1:35" ht="15.75" x14ac:dyDescent="0.2">
      <c r="A32" s="38">
        <f t="shared" si="0"/>
        <v>46286</v>
      </c>
      <c r="B32" s="39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</row>
    <row r="33" spans="1:35" ht="15.75" x14ac:dyDescent="0.2">
      <c r="A33" s="38">
        <f t="shared" si="0"/>
        <v>46287</v>
      </c>
      <c r="B33" s="39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</row>
    <row r="34" spans="1:35" ht="15.75" x14ac:dyDescent="0.2">
      <c r="A34" s="38">
        <f>A33+1</f>
        <v>46288</v>
      </c>
      <c r="B34" s="39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</row>
    <row r="35" spans="1:35" ht="15.75" x14ac:dyDescent="0.2">
      <c r="A35" s="38">
        <f t="shared" si="0"/>
        <v>46289</v>
      </c>
      <c r="B35" s="39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</row>
    <row r="36" spans="1:35" ht="15.75" x14ac:dyDescent="0.2">
      <c r="A36" s="38">
        <f t="shared" si="0"/>
        <v>46290</v>
      </c>
      <c r="B36" s="39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</row>
    <row r="37" spans="1:35" ht="15.75" x14ac:dyDescent="0.2">
      <c r="A37" s="38">
        <f t="shared" si="0"/>
        <v>46291</v>
      </c>
      <c r="B37" s="39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</row>
    <row r="38" spans="1:35" ht="15.75" x14ac:dyDescent="0.2">
      <c r="A38" s="38">
        <f t="shared" si="0"/>
        <v>46292</v>
      </c>
      <c r="B38" s="39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</row>
    <row r="39" spans="1:35" ht="15.75" x14ac:dyDescent="0.2">
      <c r="A39" s="38">
        <f t="shared" si="0"/>
        <v>46293</v>
      </c>
      <c r="B39" s="39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</row>
    <row r="40" spans="1:35" ht="15.75" x14ac:dyDescent="0.2">
      <c r="A40" s="38">
        <f>IF(A39="","",IF(A39=EOMONTH(DATE($N$6,$K$6,1),0),"",A39+1))</f>
        <v>46294</v>
      </c>
      <c r="B40" s="39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</row>
    <row r="41" spans="1:35" ht="15.75" x14ac:dyDescent="0.2">
      <c r="A41" s="38">
        <f>IF(A40="","",IF(A40=EOMONTH(DATE($N$6,$K$6,1),0),"",A40+1))</f>
        <v>46295</v>
      </c>
      <c r="B41" s="39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</row>
    <row r="42" spans="1:35" ht="15.75" x14ac:dyDescent="0.2">
      <c r="A42" s="38" t="str">
        <f>IF(A41="","",IF(A41=EOMONTH(DATE($N$6,$K$6,1),0),"",A41+1))</f>
        <v/>
      </c>
      <c r="B42" s="39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</row>
    <row r="43" spans="1:35" ht="13.5" x14ac:dyDescent="0.25">
      <c r="A43" s="9" t="s">
        <v>101</v>
      </c>
      <c r="B43" s="40" t="s">
        <v>102</v>
      </c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</row>
    <row r="44" spans="1:35" x14ac:dyDescent="0.2">
      <c r="A44" s="11"/>
      <c r="B44" s="10" t="s">
        <v>103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 t="s">
        <v>104</v>
      </c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AI4"/>
    <mergeCell ref="A5:AI5"/>
    <mergeCell ref="N6:O6"/>
    <mergeCell ref="A8:A11"/>
    <mergeCell ref="B8:P8"/>
    <mergeCell ref="AI8:AI11"/>
    <mergeCell ref="A1:A3"/>
    <mergeCell ref="B1:M3"/>
    <mergeCell ref="N1:AI1"/>
    <mergeCell ref="N2:P2"/>
    <mergeCell ref="Q2:AH2"/>
    <mergeCell ref="N3:P3"/>
    <mergeCell ref="Q3:AH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9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zoomScale="70" zoomScaleNormal="70" workbookViewId="0">
      <selection activeCell="J25" sqref="J25"/>
    </sheetView>
  </sheetViews>
  <sheetFormatPr defaultRowHeight="12.75" x14ac:dyDescent="0.2"/>
  <cols>
    <col min="1" max="2" width="23.5" bestFit="1" customWidth="1"/>
    <col min="3" max="3" width="37.83203125" bestFit="1" customWidth="1"/>
    <col min="4" max="4" width="38.6640625" bestFit="1" customWidth="1"/>
    <col min="5" max="5" width="37.5" bestFit="1" customWidth="1"/>
    <col min="6" max="6" width="32.33203125" bestFit="1" customWidth="1"/>
    <col min="7" max="7" width="43.6640625" bestFit="1" customWidth="1"/>
    <col min="8" max="8" width="32.33203125" bestFit="1" customWidth="1"/>
    <col min="9" max="9" width="44" bestFit="1" customWidth="1"/>
    <col min="10" max="10" width="41.6640625" bestFit="1" customWidth="1"/>
    <col min="11" max="11" width="32.83203125" bestFit="1" customWidth="1"/>
    <col min="12" max="12" width="6.33203125" bestFit="1" customWidth="1"/>
    <col min="13" max="13" width="7.5" bestFit="1" customWidth="1"/>
    <col min="14" max="14" width="6.33203125" bestFit="1" customWidth="1"/>
    <col min="15" max="15" width="15.1640625" bestFit="1" customWidth="1"/>
    <col min="16" max="17" width="6.33203125" bestFit="1" customWidth="1"/>
    <col min="18" max="19" width="44.1640625" bestFit="1" customWidth="1"/>
    <col min="20" max="20" width="25.6640625" bestFit="1" customWidth="1"/>
    <col min="21" max="21" width="26.33203125" bestFit="1" customWidth="1"/>
    <col min="22" max="22" width="37.83203125" bestFit="1" customWidth="1"/>
    <col min="23" max="27" width="26.33203125" bestFit="1" customWidth="1"/>
    <col min="28" max="28" width="46.6640625" bestFit="1" customWidth="1"/>
    <col min="29" max="29" width="44.1640625" bestFit="1" customWidth="1"/>
    <col min="30" max="31" width="45.33203125" bestFit="1" customWidth="1"/>
    <col min="32" max="33" width="44.6640625" bestFit="1" customWidth="1"/>
    <col min="34" max="34" width="20.6640625" bestFit="1" customWidth="1"/>
    <col min="35" max="35" width="14.6640625" bestFit="1" customWidth="1"/>
  </cols>
  <sheetData>
    <row r="1" spans="1:35" x14ac:dyDescent="0.2">
      <c r="A1" s="12" t="s">
        <v>0</v>
      </c>
      <c r="B1" s="13" t="s">
        <v>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5"/>
      <c r="N1" s="22" t="s">
        <v>2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4"/>
    </row>
    <row r="2" spans="1:35" x14ac:dyDescent="0.2">
      <c r="A2" s="12"/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  <c r="N2" s="22" t="s">
        <v>3</v>
      </c>
      <c r="O2" s="23"/>
      <c r="P2" s="24"/>
      <c r="Q2" s="22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1" t="s">
        <v>4</v>
      </c>
    </row>
    <row r="3" spans="1:35" x14ac:dyDescent="0.2">
      <c r="A3" s="12"/>
      <c r="B3" s="19"/>
      <c r="C3" s="20"/>
      <c r="D3" s="20"/>
      <c r="E3" s="20"/>
      <c r="F3" s="20"/>
      <c r="G3" s="20"/>
      <c r="H3" s="20"/>
      <c r="I3" s="20"/>
      <c r="J3" s="20"/>
      <c r="K3" s="20"/>
      <c r="L3" s="20"/>
      <c r="M3" s="21"/>
      <c r="N3" s="22" t="s">
        <v>5</v>
      </c>
      <c r="O3" s="23"/>
      <c r="P3" s="24"/>
      <c r="Q3" s="22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1" t="s">
        <v>6</v>
      </c>
    </row>
    <row r="4" spans="1:35" x14ac:dyDescent="0.2">
      <c r="A4" s="25" t="s">
        <v>7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7"/>
    </row>
    <row r="5" spans="1:35" ht="18.75" x14ac:dyDescent="0.2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</row>
    <row r="6" spans="1:35" ht="15.75" x14ac:dyDescent="0.25">
      <c r="A6" s="2" t="s">
        <v>8</v>
      </c>
      <c r="B6" s="3"/>
      <c r="C6" s="3"/>
      <c r="D6" s="3"/>
      <c r="E6" s="3"/>
      <c r="F6" s="3"/>
      <c r="G6" s="3"/>
      <c r="H6" s="3"/>
      <c r="I6" s="3"/>
      <c r="J6" s="3" t="s">
        <v>9</v>
      </c>
      <c r="K6" s="3">
        <v>10</v>
      </c>
      <c r="L6" s="3"/>
      <c r="M6" s="3" t="s">
        <v>10</v>
      </c>
      <c r="N6" s="29">
        <v>2026</v>
      </c>
      <c r="O6" s="29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30" t="s">
        <v>11</v>
      </c>
      <c r="B8" s="32" t="s">
        <v>12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35" t="s">
        <v>13</v>
      </c>
    </row>
    <row r="9" spans="1:35" x14ac:dyDescent="0.2">
      <c r="A9" s="30"/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23</v>
      </c>
      <c r="L9" s="5" t="s">
        <v>24</v>
      </c>
      <c r="M9" s="5" t="s">
        <v>25</v>
      </c>
      <c r="N9" s="5" t="s">
        <v>26</v>
      </c>
      <c r="O9" s="5" t="s">
        <v>27</v>
      </c>
      <c r="P9" s="5" t="s">
        <v>28</v>
      </c>
      <c r="Q9" s="5" t="s">
        <v>29</v>
      </c>
      <c r="R9" s="5" t="s">
        <v>30</v>
      </c>
      <c r="S9" s="5" t="s">
        <v>31</v>
      </c>
      <c r="T9" s="5" t="s">
        <v>32</v>
      </c>
      <c r="U9" s="5" t="s">
        <v>33</v>
      </c>
      <c r="V9" s="5" t="s">
        <v>34</v>
      </c>
      <c r="W9" s="5" t="s">
        <v>35</v>
      </c>
      <c r="X9" s="5" t="s">
        <v>36</v>
      </c>
      <c r="Y9" s="5" t="s">
        <v>37</v>
      </c>
      <c r="Z9" s="5" t="s">
        <v>38</v>
      </c>
      <c r="AA9" s="5" t="s">
        <v>39</v>
      </c>
      <c r="AB9" s="5" t="s">
        <v>40</v>
      </c>
      <c r="AC9" s="5" t="s">
        <v>41</v>
      </c>
      <c r="AD9" s="5" t="s">
        <v>42</v>
      </c>
      <c r="AE9" s="5" t="s">
        <v>43</v>
      </c>
      <c r="AF9" s="5" t="s">
        <v>44</v>
      </c>
      <c r="AG9" s="5" t="s">
        <v>45</v>
      </c>
      <c r="AH9" s="5" t="s">
        <v>46</v>
      </c>
      <c r="AI9" s="36"/>
    </row>
    <row r="10" spans="1:35" ht="15" x14ac:dyDescent="0.25">
      <c r="A10" s="30"/>
      <c r="B10" s="6" t="s">
        <v>47</v>
      </c>
      <c r="C10" s="7" t="s">
        <v>48</v>
      </c>
      <c r="D10" s="7" t="s">
        <v>49</v>
      </c>
      <c r="E10" s="7" t="s">
        <v>50</v>
      </c>
      <c r="F10" s="7" t="s">
        <v>51</v>
      </c>
      <c r="G10" s="7" t="s">
        <v>52</v>
      </c>
      <c r="H10" s="7" t="s">
        <v>53</v>
      </c>
      <c r="I10" s="7" t="s">
        <v>54</v>
      </c>
      <c r="J10" s="7" t="s">
        <v>55</v>
      </c>
      <c r="K10" s="7" t="s">
        <v>56</v>
      </c>
      <c r="L10" s="7"/>
      <c r="M10" s="7"/>
      <c r="N10" s="7"/>
      <c r="O10" s="7"/>
      <c r="P10" s="7"/>
      <c r="Q10" s="7"/>
      <c r="R10" s="7" t="s">
        <v>57</v>
      </c>
      <c r="S10" s="7" t="s">
        <v>58</v>
      </c>
      <c r="T10" s="7" t="s">
        <v>59</v>
      </c>
      <c r="U10" s="7" t="s">
        <v>60</v>
      </c>
      <c r="V10" s="7" t="s">
        <v>61</v>
      </c>
      <c r="W10" s="7" t="s">
        <v>62</v>
      </c>
      <c r="X10" s="7" t="s">
        <v>63</v>
      </c>
      <c r="Y10" s="7" t="s">
        <v>64</v>
      </c>
      <c r="Z10" s="7" t="s">
        <v>65</v>
      </c>
      <c r="AA10" s="7" t="s">
        <v>66</v>
      </c>
      <c r="AB10" s="7" t="s">
        <v>67</v>
      </c>
      <c r="AC10" s="7" t="s">
        <v>68</v>
      </c>
      <c r="AD10" s="7" t="s">
        <v>69</v>
      </c>
      <c r="AE10" s="7" t="s">
        <v>70</v>
      </c>
      <c r="AF10" s="7" t="s">
        <v>71</v>
      </c>
      <c r="AG10" s="7" t="s">
        <v>72</v>
      </c>
      <c r="AH10" s="7" t="s">
        <v>73</v>
      </c>
      <c r="AI10" s="36"/>
    </row>
    <row r="11" spans="1:35" ht="15" x14ac:dyDescent="0.25">
      <c r="A11" s="31"/>
      <c r="B11" s="6" t="s">
        <v>74</v>
      </c>
      <c r="C11" s="7" t="s">
        <v>75</v>
      </c>
      <c r="D11" s="7" t="s">
        <v>76</v>
      </c>
      <c r="E11" s="7" t="s">
        <v>77</v>
      </c>
      <c r="F11" s="7" t="s">
        <v>78</v>
      </c>
      <c r="G11" s="7" t="s">
        <v>79</v>
      </c>
      <c r="H11" s="7" t="s">
        <v>80</v>
      </c>
      <c r="I11" s="7" t="s">
        <v>81</v>
      </c>
      <c r="J11" s="7" t="s">
        <v>82</v>
      </c>
      <c r="K11" s="7" t="s">
        <v>83</v>
      </c>
      <c r="L11" s="7"/>
      <c r="M11" s="7"/>
      <c r="N11" s="7"/>
      <c r="O11" s="7"/>
      <c r="P11" s="7"/>
      <c r="Q11" s="7"/>
      <c r="R11" s="7" t="s">
        <v>84</v>
      </c>
      <c r="S11" s="7" t="s">
        <v>85</v>
      </c>
      <c r="T11" s="7" t="s">
        <v>86</v>
      </c>
      <c r="U11" s="7" t="s">
        <v>87</v>
      </c>
      <c r="V11" s="7" t="s">
        <v>88</v>
      </c>
      <c r="W11" s="7" t="s">
        <v>89</v>
      </c>
      <c r="X11" s="7" t="s">
        <v>90</v>
      </c>
      <c r="Y11" s="7" t="s">
        <v>91</v>
      </c>
      <c r="Z11" s="7" t="s">
        <v>92</v>
      </c>
      <c r="AA11" s="7" t="s">
        <v>93</v>
      </c>
      <c r="AB11" s="7" t="s">
        <v>94</v>
      </c>
      <c r="AC11" s="7" t="s">
        <v>95</v>
      </c>
      <c r="AD11" s="7" t="s">
        <v>96</v>
      </c>
      <c r="AE11" s="7" t="s">
        <v>97</v>
      </c>
      <c r="AF11" s="7" t="s">
        <v>98</v>
      </c>
      <c r="AG11" s="7" t="s">
        <v>99</v>
      </c>
      <c r="AH11" s="7" t="s">
        <v>100</v>
      </c>
      <c r="AI11" s="37"/>
    </row>
    <row r="12" spans="1:35" ht="15.75" x14ac:dyDescent="0.2">
      <c r="A12" s="38">
        <f>DATE(N6,K6,1)</f>
        <v>46296</v>
      </c>
      <c r="B12" s="39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</row>
    <row r="13" spans="1:35" ht="15.75" x14ac:dyDescent="0.2">
      <c r="A13" s="38">
        <f>A12+1</f>
        <v>46297</v>
      </c>
      <c r="B13" s="39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</row>
    <row r="14" spans="1:35" ht="15.75" x14ac:dyDescent="0.2">
      <c r="A14" s="38">
        <f t="shared" ref="A14:A39" si="0">A13+1</f>
        <v>46298</v>
      </c>
      <c r="B14" s="39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</row>
    <row r="15" spans="1:35" ht="15.75" x14ac:dyDescent="0.2">
      <c r="A15" s="38">
        <f t="shared" si="0"/>
        <v>46299</v>
      </c>
      <c r="B15" s="39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</row>
    <row r="16" spans="1:35" ht="15.75" x14ac:dyDescent="0.2">
      <c r="A16" s="38">
        <f t="shared" si="0"/>
        <v>46300</v>
      </c>
      <c r="B16" s="39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</row>
    <row r="17" spans="1:35" ht="15.75" x14ac:dyDescent="0.2">
      <c r="A17" s="38">
        <f t="shared" si="0"/>
        <v>46301</v>
      </c>
      <c r="B17" s="39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</row>
    <row r="18" spans="1:35" ht="15.75" x14ac:dyDescent="0.2">
      <c r="A18" s="38">
        <f t="shared" si="0"/>
        <v>46302</v>
      </c>
      <c r="B18" s="39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</row>
    <row r="19" spans="1:35" ht="15.75" x14ac:dyDescent="0.2">
      <c r="A19" s="38">
        <f t="shared" si="0"/>
        <v>46303</v>
      </c>
      <c r="B19" s="39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</row>
    <row r="20" spans="1:35" ht="15.75" x14ac:dyDescent="0.2">
      <c r="A20" s="38">
        <f t="shared" si="0"/>
        <v>46304</v>
      </c>
      <c r="B20" s="39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</row>
    <row r="21" spans="1:35" ht="15.75" x14ac:dyDescent="0.2">
      <c r="A21" s="38">
        <f t="shared" si="0"/>
        <v>46305</v>
      </c>
      <c r="B21" s="39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</row>
    <row r="22" spans="1:35" ht="15.75" x14ac:dyDescent="0.2">
      <c r="A22" s="38">
        <f t="shared" si="0"/>
        <v>46306</v>
      </c>
      <c r="B22" s="39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</row>
    <row r="23" spans="1:35" ht="15.75" x14ac:dyDescent="0.2">
      <c r="A23" s="38">
        <f t="shared" si="0"/>
        <v>46307</v>
      </c>
      <c r="B23" s="39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</row>
    <row r="24" spans="1:35" ht="15.75" x14ac:dyDescent="0.2">
      <c r="A24" s="38">
        <f t="shared" si="0"/>
        <v>46308</v>
      </c>
      <c r="B24" s="39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</row>
    <row r="25" spans="1:35" ht="15.75" x14ac:dyDescent="0.2">
      <c r="A25" s="38">
        <f t="shared" si="0"/>
        <v>46309</v>
      </c>
      <c r="B25" s="39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</row>
    <row r="26" spans="1:35" ht="15.75" x14ac:dyDescent="0.2">
      <c r="A26" s="38">
        <f t="shared" si="0"/>
        <v>46310</v>
      </c>
      <c r="B26" s="39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</row>
    <row r="27" spans="1:35" ht="15.75" x14ac:dyDescent="0.2">
      <c r="A27" s="38">
        <f t="shared" si="0"/>
        <v>46311</v>
      </c>
      <c r="B27" s="39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</row>
    <row r="28" spans="1:35" ht="15.75" x14ac:dyDescent="0.2">
      <c r="A28" s="38">
        <f t="shared" si="0"/>
        <v>46312</v>
      </c>
      <c r="B28" s="39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</row>
    <row r="29" spans="1:35" ht="15.75" x14ac:dyDescent="0.2">
      <c r="A29" s="38">
        <f t="shared" si="0"/>
        <v>46313</v>
      </c>
      <c r="B29" s="39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</row>
    <row r="30" spans="1:35" ht="15.75" x14ac:dyDescent="0.2">
      <c r="A30" s="38">
        <f t="shared" si="0"/>
        <v>46314</v>
      </c>
      <c r="B30" s="39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</row>
    <row r="31" spans="1:35" ht="15.75" x14ac:dyDescent="0.2">
      <c r="A31" s="38">
        <f t="shared" si="0"/>
        <v>46315</v>
      </c>
      <c r="B31" s="39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</row>
    <row r="32" spans="1:35" ht="15.75" x14ac:dyDescent="0.2">
      <c r="A32" s="38">
        <f t="shared" si="0"/>
        <v>46316</v>
      </c>
      <c r="B32" s="39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</row>
    <row r="33" spans="1:35" ht="15.75" x14ac:dyDescent="0.2">
      <c r="A33" s="38">
        <f t="shared" si="0"/>
        <v>46317</v>
      </c>
      <c r="B33" s="39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</row>
    <row r="34" spans="1:35" ht="15.75" x14ac:dyDescent="0.2">
      <c r="A34" s="38">
        <f>A33+1</f>
        <v>46318</v>
      </c>
      <c r="B34" s="39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</row>
    <row r="35" spans="1:35" ht="15.75" x14ac:dyDescent="0.2">
      <c r="A35" s="38">
        <f t="shared" si="0"/>
        <v>46319</v>
      </c>
      <c r="B35" s="39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</row>
    <row r="36" spans="1:35" ht="15.75" x14ac:dyDescent="0.2">
      <c r="A36" s="38">
        <f t="shared" si="0"/>
        <v>46320</v>
      </c>
      <c r="B36" s="39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</row>
    <row r="37" spans="1:35" ht="15.75" x14ac:dyDescent="0.2">
      <c r="A37" s="38">
        <f t="shared" si="0"/>
        <v>46321</v>
      </c>
      <c r="B37" s="39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</row>
    <row r="38" spans="1:35" ht="15.75" x14ac:dyDescent="0.2">
      <c r="A38" s="38">
        <f t="shared" si="0"/>
        <v>46322</v>
      </c>
      <c r="B38" s="39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</row>
    <row r="39" spans="1:35" ht="15.75" x14ac:dyDescent="0.2">
      <c r="A39" s="38">
        <f t="shared" si="0"/>
        <v>46323</v>
      </c>
      <c r="B39" s="39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</row>
    <row r="40" spans="1:35" ht="15.75" x14ac:dyDescent="0.2">
      <c r="A40" s="38">
        <f>IF(A39="","",IF(A39=EOMONTH(DATE($N$6,$K$6,1),0),"",A39+1))</f>
        <v>46324</v>
      </c>
      <c r="B40" s="39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</row>
    <row r="41" spans="1:35" ht="15.75" x14ac:dyDescent="0.2">
      <c r="A41" s="38">
        <f>IF(A40="","",IF(A40=EOMONTH(DATE($N$6,$K$6,1),0),"",A40+1))</f>
        <v>46325</v>
      </c>
      <c r="B41" s="39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</row>
    <row r="42" spans="1:35" ht="15.75" x14ac:dyDescent="0.2">
      <c r="A42" s="38">
        <f>IF(A41="","",IF(A41=EOMONTH(DATE($N$6,$K$6,1),0),"",A41+1))</f>
        <v>46326</v>
      </c>
      <c r="B42" s="39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</row>
    <row r="43" spans="1:35" ht="13.5" x14ac:dyDescent="0.25">
      <c r="A43" s="9" t="s">
        <v>101</v>
      </c>
      <c r="B43" s="40" t="s">
        <v>102</v>
      </c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</row>
    <row r="44" spans="1:35" x14ac:dyDescent="0.2">
      <c r="A44" s="11"/>
      <c r="B44" s="10" t="s">
        <v>103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 t="s">
        <v>104</v>
      </c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AI4"/>
    <mergeCell ref="A5:AI5"/>
    <mergeCell ref="N6:O6"/>
    <mergeCell ref="A8:A11"/>
    <mergeCell ref="B8:P8"/>
    <mergeCell ref="AI8:AI11"/>
    <mergeCell ref="A1:A3"/>
    <mergeCell ref="B1:M3"/>
    <mergeCell ref="N1:AI1"/>
    <mergeCell ref="N2:P2"/>
    <mergeCell ref="Q2:AH2"/>
    <mergeCell ref="N3:P3"/>
    <mergeCell ref="Q3:AH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3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zoomScale="70" zoomScaleNormal="70" workbookViewId="0">
      <selection activeCell="H26" sqref="H26"/>
    </sheetView>
  </sheetViews>
  <sheetFormatPr defaultRowHeight="12.75" x14ac:dyDescent="0.2"/>
  <cols>
    <col min="1" max="2" width="23.5" bestFit="1" customWidth="1"/>
    <col min="3" max="3" width="37.83203125" bestFit="1" customWidth="1"/>
    <col min="4" max="4" width="38.6640625" bestFit="1" customWidth="1"/>
    <col min="5" max="5" width="37.5" bestFit="1" customWidth="1"/>
    <col min="6" max="6" width="32.33203125" bestFit="1" customWidth="1"/>
    <col min="7" max="7" width="43.6640625" bestFit="1" customWidth="1"/>
    <col min="8" max="8" width="32.33203125" bestFit="1" customWidth="1"/>
    <col min="9" max="9" width="44" bestFit="1" customWidth="1"/>
    <col min="10" max="10" width="41.6640625" bestFit="1" customWidth="1"/>
    <col min="11" max="11" width="32.83203125" bestFit="1" customWidth="1"/>
    <col min="12" max="12" width="6.33203125" bestFit="1" customWidth="1"/>
    <col min="13" max="13" width="7.5" bestFit="1" customWidth="1"/>
    <col min="14" max="14" width="6.33203125" bestFit="1" customWidth="1"/>
    <col min="15" max="15" width="15.1640625" bestFit="1" customWidth="1"/>
    <col min="16" max="17" width="6.33203125" bestFit="1" customWidth="1"/>
    <col min="18" max="19" width="44.1640625" bestFit="1" customWidth="1"/>
    <col min="20" max="20" width="25.6640625" bestFit="1" customWidth="1"/>
    <col min="21" max="21" width="26.33203125" bestFit="1" customWidth="1"/>
    <col min="22" max="22" width="37.83203125" bestFit="1" customWidth="1"/>
    <col min="23" max="27" width="26.33203125" bestFit="1" customWidth="1"/>
    <col min="28" max="28" width="46.6640625" bestFit="1" customWidth="1"/>
    <col min="29" max="29" width="44.1640625" bestFit="1" customWidth="1"/>
    <col min="30" max="31" width="45.33203125" bestFit="1" customWidth="1"/>
    <col min="32" max="33" width="44.6640625" bestFit="1" customWidth="1"/>
    <col min="34" max="34" width="20.6640625" bestFit="1" customWidth="1"/>
    <col min="35" max="35" width="14.6640625" bestFit="1" customWidth="1"/>
  </cols>
  <sheetData>
    <row r="1" spans="1:35" x14ac:dyDescent="0.2">
      <c r="A1" s="12" t="s">
        <v>0</v>
      </c>
      <c r="B1" s="13" t="s">
        <v>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5"/>
      <c r="N1" s="22" t="s">
        <v>2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4"/>
    </row>
    <row r="2" spans="1:35" x14ac:dyDescent="0.2">
      <c r="A2" s="12"/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  <c r="N2" s="22" t="s">
        <v>3</v>
      </c>
      <c r="O2" s="23"/>
      <c r="P2" s="24"/>
      <c r="Q2" s="22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1" t="s">
        <v>4</v>
      </c>
    </row>
    <row r="3" spans="1:35" x14ac:dyDescent="0.2">
      <c r="A3" s="12"/>
      <c r="B3" s="19"/>
      <c r="C3" s="20"/>
      <c r="D3" s="20"/>
      <c r="E3" s="20"/>
      <c r="F3" s="20"/>
      <c r="G3" s="20"/>
      <c r="H3" s="20"/>
      <c r="I3" s="20"/>
      <c r="J3" s="20"/>
      <c r="K3" s="20"/>
      <c r="L3" s="20"/>
      <c r="M3" s="21"/>
      <c r="N3" s="22" t="s">
        <v>5</v>
      </c>
      <c r="O3" s="23"/>
      <c r="P3" s="24"/>
      <c r="Q3" s="22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1" t="s">
        <v>6</v>
      </c>
    </row>
    <row r="4" spans="1:35" x14ac:dyDescent="0.2">
      <c r="A4" s="25" t="s">
        <v>7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7"/>
    </row>
    <row r="5" spans="1:35" ht="18.75" x14ac:dyDescent="0.2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</row>
    <row r="6" spans="1:35" ht="15.75" x14ac:dyDescent="0.25">
      <c r="A6" s="2" t="s">
        <v>8</v>
      </c>
      <c r="B6" s="3"/>
      <c r="C6" s="3"/>
      <c r="D6" s="3"/>
      <c r="E6" s="3"/>
      <c r="F6" s="3"/>
      <c r="G6" s="3"/>
      <c r="H6" s="3"/>
      <c r="I6" s="3"/>
      <c r="J6" s="3" t="s">
        <v>9</v>
      </c>
      <c r="K6" s="3">
        <v>11</v>
      </c>
      <c r="L6" s="3"/>
      <c r="M6" s="3" t="s">
        <v>10</v>
      </c>
      <c r="N6" s="29">
        <v>2026</v>
      </c>
      <c r="O6" s="29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30" t="s">
        <v>11</v>
      </c>
      <c r="B8" s="32" t="s">
        <v>12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35" t="s">
        <v>13</v>
      </c>
    </row>
    <row r="9" spans="1:35" x14ac:dyDescent="0.2">
      <c r="A9" s="30"/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23</v>
      </c>
      <c r="L9" s="5" t="s">
        <v>24</v>
      </c>
      <c r="M9" s="5" t="s">
        <v>25</v>
      </c>
      <c r="N9" s="5" t="s">
        <v>26</v>
      </c>
      <c r="O9" s="5" t="s">
        <v>27</v>
      </c>
      <c r="P9" s="5" t="s">
        <v>28</v>
      </c>
      <c r="Q9" s="5" t="s">
        <v>29</v>
      </c>
      <c r="R9" s="5" t="s">
        <v>30</v>
      </c>
      <c r="S9" s="5" t="s">
        <v>31</v>
      </c>
      <c r="T9" s="5" t="s">
        <v>32</v>
      </c>
      <c r="U9" s="5" t="s">
        <v>33</v>
      </c>
      <c r="V9" s="5" t="s">
        <v>34</v>
      </c>
      <c r="W9" s="5" t="s">
        <v>35</v>
      </c>
      <c r="X9" s="5" t="s">
        <v>36</v>
      </c>
      <c r="Y9" s="5" t="s">
        <v>37</v>
      </c>
      <c r="Z9" s="5" t="s">
        <v>38</v>
      </c>
      <c r="AA9" s="5" t="s">
        <v>39</v>
      </c>
      <c r="AB9" s="5" t="s">
        <v>40</v>
      </c>
      <c r="AC9" s="5" t="s">
        <v>41</v>
      </c>
      <c r="AD9" s="5" t="s">
        <v>42</v>
      </c>
      <c r="AE9" s="5" t="s">
        <v>43</v>
      </c>
      <c r="AF9" s="5" t="s">
        <v>44</v>
      </c>
      <c r="AG9" s="5" t="s">
        <v>45</v>
      </c>
      <c r="AH9" s="5" t="s">
        <v>46</v>
      </c>
      <c r="AI9" s="36"/>
    </row>
    <row r="10" spans="1:35" ht="15" x14ac:dyDescent="0.25">
      <c r="A10" s="30"/>
      <c r="B10" s="6" t="s">
        <v>47</v>
      </c>
      <c r="C10" s="7" t="s">
        <v>48</v>
      </c>
      <c r="D10" s="7" t="s">
        <v>49</v>
      </c>
      <c r="E10" s="7" t="s">
        <v>50</v>
      </c>
      <c r="F10" s="7" t="s">
        <v>51</v>
      </c>
      <c r="G10" s="7" t="s">
        <v>52</v>
      </c>
      <c r="H10" s="7" t="s">
        <v>53</v>
      </c>
      <c r="I10" s="7" t="s">
        <v>54</v>
      </c>
      <c r="J10" s="7" t="s">
        <v>55</v>
      </c>
      <c r="K10" s="7" t="s">
        <v>56</v>
      </c>
      <c r="L10" s="7"/>
      <c r="M10" s="7"/>
      <c r="N10" s="7"/>
      <c r="O10" s="7"/>
      <c r="P10" s="7"/>
      <c r="Q10" s="7"/>
      <c r="R10" s="7" t="s">
        <v>57</v>
      </c>
      <c r="S10" s="7" t="s">
        <v>58</v>
      </c>
      <c r="T10" s="7" t="s">
        <v>59</v>
      </c>
      <c r="U10" s="7" t="s">
        <v>60</v>
      </c>
      <c r="V10" s="7" t="s">
        <v>61</v>
      </c>
      <c r="W10" s="7" t="s">
        <v>62</v>
      </c>
      <c r="X10" s="7" t="s">
        <v>63</v>
      </c>
      <c r="Y10" s="7" t="s">
        <v>64</v>
      </c>
      <c r="Z10" s="7" t="s">
        <v>65</v>
      </c>
      <c r="AA10" s="7" t="s">
        <v>66</v>
      </c>
      <c r="AB10" s="7" t="s">
        <v>67</v>
      </c>
      <c r="AC10" s="7" t="s">
        <v>68</v>
      </c>
      <c r="AD10" s="7" t="s">
        <v>69</v>
      </c>
      <c r="AE10" s="7" t="s">
        <v>70</v>
      </c>
      <c r="AF10" s="7" t="s">
        <v>71</v>
      </c>
      <c r="AG10" s="7" t="s">
        <v>72</v>
      </c>
      <c r="AH10" s="7" t="s">
        <v>73</v>
      </c>
      <c r="AI10" s="36"/>
    </row>
    <row r="11" spans="1:35" ht="15" x14ac:dyDescent="0.25">
      <c r="A11" s="31"/>
      <c r="B11" s="6" t="s">
        <v>74</v>
      </c>
      <c r="C11" s="7" t="s">
        <v>75</v>
      </c>
      <c r="D11" s="7" t="s">
        <v>76</v>
      </c>
      <c r="E11" s="7" t="s">
        <v>77</v>
      </c>
      <c r="F11" s="7" t="s">
        <v>78</v>
      </c>
      <c r="G11" s="7" t="s">
        <v>79</v>
      </c>
      <c r="H11" s="7" t="s">
        <v>80</v>
      </c>
      <c r="I11" s="7" t="s">
        <v>81</v>
      </c>
      <c r="J11" s="7" t="s">
        <v>82</v>
      </c>
      <c r="K11" s="7" t="s">
        <v>83</v>
      </c>
      <c r="L11" s="7"/>
      <c r="M11" s="7"/>
      <c r="N11" s="7"/>
      <c r="O11" s="7"/>
      <c r="P11" s="7"/>
      <c r="Q11" s="7"/>
      <c r="R11" s="7" t="s">
        <v>84</v>
      </c>
      <c r="S11" s="7" t="s">
        <v>85</v>
      </c>
      <c r="T11" s="7" t="s">
        <v>86</v>
      </c>
      <c r="U11" s="7" t="s">
        <v>87</v>
      </c>
      <c r="V11" s="7" t="s">
        <v>88</v>
      </c>
      <c r="W11" s="7" t="s">
        <v>89</v>
      </c>
      <c r="X11" s="7" t="s">
        <v>90</v>
      </c>
      <c r="Y11" s="7" t="s">
        <v>91</v>
      </c>
      <c r="Z11" s="7" t="s">
        <v>92</v>
      </c>
      <c r="AA11" s="7" t="s">
        <v>93</v>
      </c>
      <c r="AB11" s="7" t="s">
        <v>94</v>
      </c>
      <c r="AC11" s="7" t="s">
        <v>95</v>
      </c>
      <c r="AD11" s="7" t="s">
        <v>96</v>
      </c>
      <c r="AE11" s="7" t="s">
        <v>97</v>
      </c>
      <c r="AF11" s="7" t="s">
        <v>98</v>
      </c>
      <c r="AG11" s="7" t="s">
        <v>99</v>
      </c>
      <c r="AH11" s="7" t="s">
        <v>100</v>
      </c>
      <c r="AI11" s="37"/>
    </row>
    <row r="12" spans="1:35" ht="15.75" x14ac:dyDescent="0.2">
      <c r="A12" s="38">
        <f>DATE(N6,K6,1)</f>
        <v>46327</v>
      </c>
      <c r="B12" s="39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</row>
    <row r="13" spans="1:35" ht="15.75" x14ac:dyDescent="0.2">
      <c r="A13" s="38">
        <f>A12+1</f>
        <v>46328</v>
      </c>
      <c r="B13" s="39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</row>
    <row r="14" spans="1:35" ht="15.75" x14ac:dyDescent="0.2">
      <c r="A14" s="38">
        <f t="shared" ref="A14:A39" si="0">A13+1</f>
        <v>46329</v>
      </c>
      <c r="B14" s="39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</row>
    <row r="15" spans="1:35" ht="15.75" x14ac:dyDescent="0.2">
      <c r="A15" s="38">
        <f t="shared" si="0"/>
        <v>46330</v>
      </c>
      <c r="B15" s="39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</row>
    <row r="16" spans="1:35" ht="15.75" x14ac:dyDescent="0.2">
      <c r="A16" s="38">
        <f t="shared" si="0"/>
        <v>46331</v>
      </c>
      <c r="B16" s="39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</row>
    <row r="17" spans="1:35" ht="15.75" x14ac:dyDescent="0.2">
      <c r="A17" s="38">
        <f t="shared" si="0"/>
        <v>46332</v>
      </c>
      <c r="B17" s="39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</row>
    <row r="18" spans="1:35" ht="15.75" x14ac:dyDescent="0.2">
      <c r="A18" s="38">
        <f t="shared" si="0"/>
        <v>46333</v>
      </c>
      <c r="B18" s="39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</row>
    <row r="19" spans="1:35" ht="15.75" x14ac:dyDescent="0.2">
      <c r="A19" s="38">
        <f t="shared" si="0"/>
        <v>46334</v>
      </c>
      <c r="B19" s="39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</row>
    <row r="20" spans="1:35" ht="15.75" x14ac:dyDescent="0.2">
      <c r="A20" s="38">
        <f t="shared" si="0"/>
        <v>46335</v>
      </c>
      <c r="B20" s="39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</row>
    <row r="21" spans="1:35" ht="15.75" x14ac:dyDescent="0.2">
      <c r="A21" s="38">
        <f t="shared" si="0"/>
        <v>46336</v>
      </c>
      <c r="B21" s="39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</row>
    <row r="22" spans="1:35" ht="15.75" x14ac:dyDescent="0.2">
      <c r="A22" s="38">
        <f t="shared" si="0"/>
        <v>46337</v>
      </c>
      <c r="B22" s="39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</row>
    <row r="23" spans="1:35" ht="15.75" x14ac:dyDescent="0.2">
      <c r="A23" s="38">
        <f t="shared" si="0"/>
        <v>46338</v>
      </c>
      <c r="B23" s="39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</row>
    <row r="24" spans="1:35" ht="15.75" x14ac:dyDescent="0.2">
      <c r="A24" s="38">
        <f t="shared" si="0"/>
        <v>46339</v>
      </c>
      <c r="B24" s="39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</row>
    <row r="25" spans="1:35" ht="15.75" x14ac:dyDescent="0.2">
      <c r="A25" s="38">
        <f t="shared" si="0"/>
        <v>46340</v>
      </c>
      <c r="B25" s="39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</row>
    <row r="26" spans="1:35" ht="15.75" x14ac:dyDescent="0.2">
      <c r="A26" s="38">
        <f t="shared" si="0"/>
        <v>46341</v>
      </c>
      <c r="B26" s="39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</row>
    <row r="27" spans="1:35" ht="15.75" x14ac:dyDescent="0.2">
      <c r="A27" s="38">
        <f t="shared" si="0"/>
        <v>46342</v>
      </c>
      <c r="B27" s="39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</row>
    <row r="28" spans="1:35" ht="15.75" x14ac:dyDescent="0.2">
      <c r="A28" s="38">
        <f t="shared" si="0"/>
        <v>46343</v>
      </c>
      <c r="B28" s="39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</row>
    <row r="29" spans="1:35" ht="15.75" x14ac:dyDescent="0.2">
      <c r="A29" s="38">
        <f t="shared" si="0"/>
        <v>46344</v>
      </c>
      <c r="B29" s="39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</row>
    <row r="30" spans="1:35" ht="15.75" x14ac:dyDescent="0.2">
      <c r="A30" s="38">
        <f t="shared" si="0"/>
        <v>46345</v>
      </c>
      <c r="B30" s="39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</row>
    <row r="31" spans="1:35" ht="15.75" x14ac:dyDescent="0.2">
      <c r="A31" s="38">
        <f t="shared" si="0"/>
        <v>46346</v>
      </c>
      <c r="B31" s="39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</row>
    <row r="32" spans="1:35" ht="15.75" x14ac:dyDescent="0.2">
      <c r="A32" s="38">
        <f t="shared" si="0"/>
        <v>46347</v>
      </c>
      <c r="B32" s="39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</row>
    <row r="33" spans="1:35" ht="15.75" x14ac:dyDescent="0.2">
      <c r="A33" s="38">
        <f t="shared" si="0"/>
        <v>46348</v>
      </c>
      <c r="B33" s="39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</row>
    <row r="34" spans="1:35" ht="15.75" x14ac:dyDescent="0.2">
      <c r="A34" s="38">
        <f>A33+1</f>
        <v>46349</v>
      </c>
      <c r="B34" s="39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</row>
    <row r="35" spans="1:35" ht="15.75" x14ac:dyDescent="0.2">
      <c r="A35" s="38">
        <f t="shared" si="0"/>
        <v>46350</v>
      </c>
      <c r="B35" s="39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</row>
    <row r="36" spans="1:35" ht="15.75" x14ac:dyDescent="0.2">
      <c r="A36" s="38">
        <f t="shared" si="0"/>
        <v>46351</v>
      </c>
      <c r="B36" s="39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</row>
    <row r="37" spans="1:35" ht="15.75" x14ac:dyDescent="0.2">
      <c r="A37" s="38">
        <f t="shared" si="0"/>
        <v>46352</v>
      </c>
      <c r="B37" s="39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</row>
    <row r="38" spans="1:35" ht="15.75" x14ac:dyDescent="0.2">
      <c r="A38" s="38">
        <f t="shared" si="0"/>
        <v>46353</v>
      </c>
      <c r="B38" s="39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</row>
    <row r="39" spans="1:35" ht="15.75" x14ac:dyDescent="0.2">
      <c r="A39" s="38">
        <f t="shared" si="0"/>
        <v>46354</v>
      </c>
      <c r="B39" s="39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</row>
    <row r="40" spans="1:35" ht="15.75" x14ac:dyDescent="0.2">
      <c r="A40" s="38">
        <f>IF(A39="","",IF(A39=EOMONTH(DATE($N$6,$K$6,1),0),"",A39+1))</f>
        <v>46355</v>
      </c>
      <c r="B40" s="39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</row>
    <row r="41" spans="1:35" ht="15.75" x14ac:dyDescent="0.2">
      <c r="A41" s="38">
        <f>IF(A40="","",IF(A40=EOMONTH(DATE($N$6,$K$6,1),0),"",A40+1))</f>
        <v>46356</v>
      </c>
      <c r="B41" s="39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</row>
    <row r="42" spans="1:35" ht="15.75" x14ac:dyDescent="0.2">
      <c r="A42" s="38" t="str">
        <f>IF(A41="","",IF(A41=EOMONTH(DATE($N$6,$K$6,1),0),"",A41+1))</f>
        <v/>
      </c>
      <c r="B42" s="39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</row>
    <row r="43" spans="1:35" ht="13.5" x14ac:dyDescent="0.25">
      <c r="A43" s="9" t="s">
        <v>101</v>
      </c>
      <c r="B43" s="40" t="s">
        <v>102</v>
      </c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</row>
    <row r="44" spans="1:35" x14ac:dyDescent="0.2">
      <c r="A44" s="11"/>
      <c r="B44" s="10" t="s">
        <v>103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 t="s">
        <v>104</v>
      </c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AI4"/>
    <mergeCell ref="A5:AI5"/>
    <mergeCell ref="N6:O6"/>
    <mergeCell ref="A8:A11"/>
    <mergeCell ref="B8:P8"/>
    <mergeCell ref="AI8:AI11"/>
    <mergeCell ref="A1:A3"/>
    <mergeCell ref="B1:M3"/>
    <mergeCell ref="N1:AI1"/>
    <mergeCell ref="N2:P2"/>
    <mergeCell ref="Q2:AH2"/>
    <mergeCell ref="N3:P3"/>
    <mergeCell ref="Q3:AH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7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zoomScale="70" zoomScaleNormal="70" workbookViewId="0">
      <selection activeCell="G36" sqref="G36"/>
    </sheetView>
  </sheetViews>
  <sheetFormatPr defaultRowHeight="12.75" x14ac:dyDescent="0.2"/>
  <cols>
    <col min="1" max="2" width="23.5" bestFit="1" customWidth="1"/>
    <col min="3" max="3" width="37.83203125" bestFit="1" customWidth="1"/>
    <col min="4" max="4" width="38.6640625" bestFit="1" customWidth="1"/>
    <col min="5" max="5" width="37.5" bestFit="1" customWidth="1"/>
    <col min="6" max="6" width="32.33203125" bestFit="1" customWidth="1"/>
    <col min="7" max="7" width="43.6640625" bestFit="1" customWidth="1"/>
    <col min="8" max="8" width="32.33203125" bestFit="1" customWidth="1"/>
    <col min="9" max="9" width="44" bestFit="1" customWidth="1"/>
    <col min="10" max="10" width="41.6640625" bestFit="1" customWidth="1"/>
    <col min="11" max="11" width="32.83203125" bestFit="1" customWidth="1"/>
    <col min="12" max="12" width="6.33203125" bestFit="1" customWidth="1"/>
    <col min="13" max="13" width="7.5" bestFit="1" customWidth="1"/>
    <col min="14" max="14" width="6.33203125" bestFit="1" customWidth="1"/>
    <col min="15" max="15" width="15.1640625" bestFit="1" customWidth="1"/>
    <col min="16" max="17" width="6.33203125" bestFit="1" customWidth="1"/>
    <col min="18" max="19" width="44.1640625" bestFit="1" customWidth="1"/>
    <col min="20" max="20" width="25.6640625" bestFit="1" customWidth="1"/>
    <col min="21" max="21" width="26.33203125" bestFit="1" customWidth="1"/>
    <col min="22" max="22" width="37.83203125" bestFit="1" customWidth="1"/>
    <col min="23" max="27" width="26.33203125" bestFit="1" customWidth="1"/>
    <col min="28" max="28" width="46.6640625" bestFit="1" customWidth="1"/>
    <col min="29" max="29" width="44.1640625" bestFit="1" customWidth="1"/>
    <col min="30" max="31" width="45.33203125" bestFit="1" customWidth="1"/>
    <col min="32" max="33" width="44.6640625" bestFit="1" customWidth="1"/>
    <col min="34" max="34" width="20.6640625" bestFit="1" customWidth="1"/>
    <col min="35" max="35" width="14.6640625" bestFit="1" customWidth="1"/>
  </cols>
  <sheetData>
    <row r="1" spans="1:35" x14ac:dyDescent="0.2">
      <c r="A1" s="12" t="s">
        <v>0</v>
      </c>
      <c r="B1" s="13" t="s">
        <v>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5"/>
      <c r="N1" s="22" t="s">
        <v>2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4"/>
    </row>
    <row r="2" spans="1:35" x14ac:dyDescent="0.2">
      <c r="A2" s="12"/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  <c r="N2" s="22" t="s">
        <v>3</v>
      </c>
      <c r="O2" s="23"/>
      <c r="P2" s="24"/>
      <c r="Q2" s="22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1" t="s">
        <v>4</v>
      </c>
    </row>
    <row r="3" spans="1:35" x14ac:dyDescent="0.2">
      <c r="A3" s="12"/>
      <c r="B3" s="19"/>
      <c r="C3" s="20"/>
      <c r="D3" s="20"/>
      <c r="E3" s="20"/>
      <c r="F3" s="20"/>
      <c r="G3" s="20"/>
      <c r="H3" s="20"/>
      <c r="I3" s="20"/>
      <c r="J3" s="20"/>
      <c r="K3" s="20"/>
      <c r="L3" s="20"/>
      <c r="M3" s="21"/>
      <c r="N3" s="22" t="s">
        <v>5</v>
      </c>
      <c r="O3" s="23"/>
      <c r="P3" s="24"/>
      <c r="Q3" s="22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1" t="s">
        <v>6</v>
      </c>
    </row>
    <row r="4" spans="1:35" x14ac:dyDescent="0.2">
      <c r="A4" s="25" t="s">
        <v>7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7"/>
    </row>
    <row r="5" spans="1:35" ht="18.75" x14ac:dyDescent="0.2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</row>
    <row r="6" spans="1:35" ht="15.75" x14ac:dyDescent="0.25">
      <c r="A6" s="2" t="s">
        <v>8</v>
      </c>
      <c r="B6" s="3"/>
      <c r="C6" s="3"/>
      <c r="D6" s="3"/>
      <c r="E6" s="3"/>
      <c r="F6" s="3"/>
      <c r="G6" s="3"/>
      <c r="H6" s="3"/>
      <c r="I6" s="3"/>
      <c r="J6" s="3" t="s">
        <v>9</v>
      </c>
      <c r="K6" s="3">
        <v>12</v>
      </c>
      <c r="L6" s="3"/>
      <c r="M6" s="3" t="s">
        <v>10</v>
      </c>
      <c r="N6" s="29">
        <v>2026</v>
      </c>
      <c r="O6" s="29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30" t="s">
        <v>11</v>
      </c>
      <c r="B8" s="32" t="s">
        <v>12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35" t="s">
        <v>13</v>
      </c>
    </row>
    <row r="9" spans="1:35" x14ac:dyDescent="0.2">
      <c r="A9" s="30"/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23</v>
      </c>
      <c r="L9" s="5" t="s">
        <v>24</v>
      </c>
      <c r="M9" s="5" t="s">
        <v>25</v>
      </c>
      <c r="N9" s="5" t="s">
        <v>26</v>
      </c>
      <c r="O9" s="5" t="s">
        <v>27</v>
      </c>
      <c r="P9" s="5" t="s">
        <v>28</v>
      </c>
      <c r="Q9" s="5" t="s">
        <v>29</v>
      </c>
      <c r="R9" s="5" t="s">
        <v>30</v>
      </c>
      <c r="S9" s="5" t="s">
        <v>31</v>
      </c>
      <c r="T9" s="5" t="s">
        <v>32</v>
      </c>
      <c r="U9" s="5" t="s">
        <v>33</v>
      </c>
      <c r="V9" s="5" t="s">
        <v>34</v>
      </c>
      <c r="W9" s="5" t="s">
        <v>35</v>
      </c>
      <c r="X9" s="5" t="s">
        <v>36</v>
      </c>
      <c r="Y9" s="5" t="s">
        <v>37</v>
      </c>
      <c r="Z9" s="5" t="s">
        <v>38</v>
      </c>
      <c r="AA9" s="5" t="s">
        <v>39</v>
      </c>
      <c r="AB9" s="5" t="s">
        <v>40</v>
      </c>
      <c r="AC9" s="5" t="s">
        <v>41</v>
      </c>
      <c r="AD9" s="5" t="s">
        <v>42</v>
      </c>
      <c r="AE9" s="5" t="s">
        <v>43</v>
      </c>
      <c r="AF9" s="5" t="s">
        <v>44</v>
      </c>
      <c r="AG9" s="5" t="s">
        <v>45</v>
      </c>
      <c r="AH9" s="5" t="s">
        <v>46</v>
      </c>
      <c r="AI9" s="36"/>
    </row>
    <row r="10" spans="1:35" ht="15" x14ac:dyDescent="0.25">
      <c r="A10" s="30"/>
      <c r="B10" s="6" t="s">
        <v>47</v>
      </c>
      <c r="C10" s="7" t="s">
        <v>48</v>
      </c>
      <c r="D10" s="7" t="s">
        <v>49</v>
      </c>
      <c r="E10" s="7" t="s">
        <v>50</v>
      </c>
      <c r="F10" s="7" t="s">
        <v>51</v>
      </c>
      <c r="G10" s="7" t="s">
        <v>52</v>
      </c>
      <c r="H10" s="7" t="s">
        <v>53</v>
      </c>
      <c r="I10" s="7" t="s">
        <v>54</v>
      </c>
      <c r="J10" s="7" t="s">
        <v>55</v>
      </c>
      <c r="K10" s="7" t="s">
        <v>56</v>
      </c>
      <c r="L10" s="7"/>
      <c r="M10" s="7"/>
      <c r="N10" s="7"/>
      <c r="O10" s="7"/>
      <c r="P10" s="7"/>
      <c r="Q10" s="7"/>
      <c r="R10" s="7" t="s">
        <v>57</v>
      </c>
      <c r="S10" s="7" t="s">
        <v>58</v>
      </c>
      <c r="T10" s="7" t="s">
        <v>59</v>
      </c>
      <c r="U10" s="7" t="s">
        <v>60</v>
      </c>
      <c r="V10" s="7" t="s">
        <v>61</v>
      </c>
      <c r="W10" s="7" t="s">
        <v>62</v>
      </c>
      <c r="X10" s="7" t="s">
        <v>63</v>
      </c>
      <c r="Y10" s="7" t="s">
        <v>64</v>
      </c>
      <c r="Z10" s="7" t="s">
        <v>65</v>
      </c>
      <c r="AA10" s="7" t="s">
        <v>66</v>
      </c>
      <c r="AB10" s="7" t="s">
        <v>67</v>
      </c>
      <c r="AC10" s="7" t="s">
        <v>68</v>
      </c>
      <c r="AD10" s="7" t="s">
        <v>69</v>
      </c>
      <c r="AE10" s="7" t="s">
        <v>70</v>
      </c>
      <c r="AF10" s="7" t="s">
        <v>71</v>
      </c>
      <c r="AG10" s="7" t="s">
        <v>72</v>
      </c>
      <c r="AH10" s="7" t="s">
        <v>73</v>
      </c>
      <c r="AI10" s="36"/>
    </row>
    <row r="11" spans="1:35" ht="15" x14ac:dyDescent="0.25">
      <c r="A11" s="31"/>
      <c r="B11" s="6" t="s">
        <v>74</v>
      </c>
      <c r="C11" s="7" t="s">
        <v>75</v>
      </c>
      <c r="D11" s="7" t="s">
        <v>76</v>
      </c>
      <c r="E11" s="7" t="s">
        <v>77</v>
      </c>
      <c r="F11" s="7" t="s">
        <v>78</v>
      </c>
      <c r="G11" s="7" t="s">
        <v>79</v>
      </c>
      <c r="H11" s="7" t="s">
        <v>80</v>
      </c>
      <c r="I11" s="7" t="s">
        <v>81</v>
      </c>
      <c r="J11" s="7" t="s">
        <v>82</v>
      </c>
      <c r="K11" s="7" t="s">
        <v>83</v>
      </c>
      <c r="L11" s="7"/>
      <c r="M11" s="7"/>
      <c r="N11" s="7"/>
      <c r="O11" s="7"/>
      <c r="P11" s="7"/>
      <c r="Q11" s="7"/>
      <c r="R11" s="7" t="s">
        <v>84</v>
      </c>
      <c r="S11" s="7" t="s">
        <v>85</v>
      </c>
      <c r="T11" s="7" t="s">
        <v>86</v>
      </c>
      <c r="U11" s="7" t="s">
        <v>87</v>
      </c>
      <c r="V11" s="7" t="s">
        <v>88</v>
      </c>
      <c r="W11" s="7" t="s">
        <v>89</v>
      </c>
      <c r="X11" s="7" t="s">
        <v>90</v>
      </c>
      <c r="Y11" s="7" t="s">
        <v>91</v>
      </c>
      <c r="Z11" s="7" t="s">
        <v>92</v>
      </c>
      <c r="AA11" s="7" t="s">
        <v>93</v>
      </c>
      <c r="AB11" s="7" t="s">
        <v>94</v>
      </c>
      <c r="AC11" s="7" t="s">
        <v>95</v>
      </c>
      <c r="AD11" s="7" t="s">
        <v>96</v>
      </c>
      <c r="AE11" s="7" t="s">
        <v>97</v>
      </c>
      <c r="AF11" s="7" t="s">
        <v>98</v>
      </c>
      <c r="AG11" s="7" t="s">
        <v>99</v>
      </c>
      <c r="AH11" s="7" t="s">
        <v>100</v>
      </c>
      <c r="AI11" s="37"/>
    </row>
    <row r="12" spans="1:35" ht="15.75" x14ac:dyDescent="0.2">
      <c r="A12" s="38">
        <f>DATE(N6,K6,1)</f>
        <v>46357</v>
      </c>
      <c r="B12" s="39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</row>
    <row r="13" spans="1:35" ht="15.75" x14ac:dyDescent="0.2">
      <c r="A13" s="38">
        <f>A12+1</f>
        <v>46358</v>
      </c>
      <c r="B13" s="39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</row>
    <row r="14" spans="1:35" ht="15.75" x14ac:dyDescent="0.2">
      <c r="A14" s="38">
        <f t="shared" ref="A14:A39" si="0">A13+1</f>
        <v>46359</v>
      </c>
      <c r="B14" s="39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</row>
    <row r="15" spans="1:35" ht="15.75" x14ac:dyDescent="0.2">
      <c r="A15" s="38">
        <f t="shared" si="0"/>
        <v>46360</v>
      </c>
      <c r="B15" s="39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</row>
    <row r="16" spans="1:35" ht="15.75" x14ac:dyDescent="0.2">
      <c r="A16" s="38">
        <f t="shared" si="0"/>
        <v>46361</v>
      </c>
      <c r="B16" s="39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</row>
    <row r="17" spans="1:35" ht="15.75" x14ac:dyDescent="0.2">
      <c r="A17" s="38">
        <f t="shared" si="0"/>
        <v>46362</v>
      </c>
      <c r="B17" s="39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</row>
    <row r="18" spans="1:35" ht="15.75" x14ac:dyDescent="0.2">
      <c r="A18" s="38">
        <f t="shared" si="0"/>
        <v>46363</v>
      </c>
      <c r="B18" s="39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</row>
    <row r="19" spans="1:35" ht="15.75" x14ac:dyDescent="0.2">
      <c r="A19" s="38">
        <f t="shared" si="0"/>
        <v>46364</v>
      </c>
      <c r="B19" s="39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</row>
    <row r="20" spans="1:35" ht="15.75" x14ac:dyDescent="0.2">
      <c r="A20" s="38">
        <f t="shared" si="0"/>
        <v>46365</v>
      </c>
      <c r="B20" s="39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</row>
    <row r="21" spans="1:35" ht="15.75" x14ac:dyDescent="0.2">
      <c r="A21" s="38">
        <f t="shared" si="0"/>
        <v>46366</v>
      </c>
      <c r="B21" s="39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</row>
    <row r="22" spans="1:35" ht="15.75" x14ac:dyDescent="0.2">
      <c r="A22" s="38">
        <f t="shared" si="0"/>
        <v>46367</v>
      </c>
      <c r="B22" s="39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</row>
    <row r="23" spans="1:35" ht="15.75" x14ac:dyDescent="0.2">
      <c r="A23" s="38">
        <f t="shared" si="0"/>
        <v>46368</v>
      </c>
      <c r="B23" s="39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</row>
    <row r="24" spans="1:35" ht="15.75" x14ac:dyDescent="0.2">
      <c r="A24" s="38">
        <f t="shared" si="0"/>
        <v>46369</v>
      </c>
      <c r="B24" s="39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</row>
    <row r="25" spans="1:35" ht="15.75" x14ac:dyDescent="0.2">
      <c r="A25" s="38">
        <f t="shared" si="0"/>
        <v>46370</v>
      </c>
      <c r="B25" s="39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</row>
    <row r="26" spans="1:35" ht="15.75" x14ac:dyDescent="0.2">
      <c r="A26" s="38">
        <f t="shared" si="0"/>
        <v>46371</v>
      </c>
      <c r="B26" s="39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</row>
    <row r="27" spans="1:35" ht="15.75" x14ac:dyDescent="0.2">
      <c r="A27" s="38">
        <f t="shared" si="0"/>
        <v>46372</v>
      </c>
      <c r="B27" s="39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</row>
    <row r="28" spans="1:35" ht="15.75" x14ac:dyDescent="0.2">
      <c r="A28" s="38">
        <f t="shared" si="0"/>
        <v>46373</v>
      </c>
      <c r="B28" s="39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</row>
    <row r="29" spans="1:35" ht="15.75" x14ac:dyDescent="0.2">
      <c r="A29" s="38">
        <f t="shared" si="0"/>
        <v>46374</v>
      </c>
      <c r="B29" s="39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</row>
    <row r="30" spans="1:35" ht="15.75" x14ac:dyDescent="0.2">
      <c r="A30" s="38">
        <f t="shared" si="0"/>
        <v>46375</v>
      </c>
      <c r="B30" s="39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</row>
    <row r="31" spans="1:35" ht="15.75" x14ac:dyDescent="0.2">
      <c r="A31" s="38">
        <f t="shared" si="0"/>
        <v>46376</v>
      </c>
      <c r="B31" s="39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</row>
    <row r="32" spans="1:35" ht="15.75" x14ac:dyDescent="0.2">
      <c r="A32" s="38">
        <f t="shared" si="0"/>
        <v>46377</v>
      </c>
      <c r="B32" s="39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</row>
    <row r="33" spans="1:35" ht="15.75" x14ac:dyDescent="0.2">
      <c r="A33" s="38">
        <f t="shared" si="0"/>
        <v>46378</v>
      </c>
      <c r="B33" s="39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</row>
    <row r="34" spans="1:35" ht="15.75" x14ac:dyDescent="0.2">
      <c r="A34" s="38">
        <f>A33+1</f>
        <v>46379</v>
      </c>
      <c r="B34" s="39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</row>
    <row r="35" spans="1:35" ht="15.75" x14ac:dyDescent="0.2">
      <c r="A35" s="38">
        <f t="shared" si="0"/>
        <v>46380</v>
      </c>
      <c r="B35" s="39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</row>
    <row r="36" spans="1:35" ht="15.75" x14ac:dyDescent="0.2">
      <c r="A36" s="38">
        <f t="shared" si="0"/>
        <v>46381</v>
      </c>
      <c r="B36" s="39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</row>
    <row r="37" spans="1:35" ht="15.75" x14ac:dyDescent="0.2">
      <c r="A37" s="38">
        <f t="shared" si="0"/>
        <v>46382</v>
      </c>
      <c r="B37" s="39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</row>
    <row r="38" spans="1:35" ht="15.75" x14ac:dyDescent="0.2">
      <c r="A38" s="38">
        <f t="shared" si="0"/>
        <v>46383</v>
      </c>
      <c r="B38" s="39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</row>
    <row r="39" spans="1:35" ht="15.75" x14ac:dyDescent="0.2">
      <c r="A39" s="38">
        <f t="shared" si="0"/>
        <v>46384</v>
      </c>
      <c r="B39" s="39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</row>
    <row r="40" spans="1:35" ht="15.75" x14ac:dyDescent="0.2">
      <c r="A40" s="38">
        <f>IF(A39="","",IF(A39=EOMONTH(DATE($N$6,$K$6,1),0),"",A39+1))</f>
        <v>46385</v>
      </c>
      <c r="B40" s="39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</row>
    <row r="41" spans="1:35" ht="15.75" x14ac:dyDescent="0.2">
      <c r="A41" s="38">
        <f>IF(A40="","",IF(A40=EOMONTH(DATE($N$6,$K$6,1),0),"",A40+1))</f>
        <v>46386</v>
      </c>
      <c r="B41" s="39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</row>
    <row r="42" spans="1:35" ht="15.75" x14ac:dyDescent="0.2">
      <c r="A42" s="38">
        <f>IF(A41="","",IF(A41=EOMONTH(DATE($N$6,$K$6,1),0),"",A41+1))</f>
        <v>46387</v>
      </c>
      <c r="B42" s="39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</row>
    <row r="43" spans="1:35" ht="13.5" x14ac:dyDescent="0.25">
      <c r="A43" s="9" t="s">
        <v>101</v>
      </c>
      <c r="B43" s="40" t="s">
        <v>102</v>
      </c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</row>
    <row r="44" spans="1:35" x14ac:dyDescent="0.2">
      <c r="A44" s="11"/>
      <c r="B44" s="10" t="s">
        <v>103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 t="s">
        <v>104</v>
      </c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AI4"/>
    <mergeCell ref="A5:AI5"/>
    <mergeCell ref="N6:O6"/>
    <mergeCell ref="A8:A11"/>
    <mergeCell ref="B8:P8"/>
    <mergeCell ref="AI8:AI11"/>
    <mergeCell ref="A1:A3"/>
    <mergeCell ref="B1:M3"/>
    <mergeCell ref="N1:AI1"/>
    <mergeCell ref="N2:P2"/>
    <mergeCell ref="Q2:AH2"/>
    <mergeCell ref="N3:P3"/>
    <mergeCell ref="Q3:AH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91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2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Tháng 1</vt:lpstr>
      <vt:lpstr>Tháng 2</vt:lpstr>
      <vt:lpstr>Tháng 3</vt:lpstr>
      <vt:lpstr>Tháng 4</vt:lpstr>
      <vt:lpstr>Tháng 5</vt:lpstr>
      <vt:lpstr>Tháng 6</vt:lpstr>
      <vt:lpstr>Tháng 7</vt:lpstr>
      <vt:lpstr>Tháng 8</vt:lpstr>
      <vt:lpstr>Tháng 9</vt:lpstr>
      <vt:lpstr>Tháng 10</vt:lpstr>
      <vt:lpstr>Tháng 11</vt:lpstr>
      <vt:lpstr>Tháng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2025-12-01T09:25:09Z</dcterms:created>
  <dcterms:modified xsi:type="dcterms:W3CDTF">2026-04-01T03:40:10Z</dcterms:modified>
</cp:coreProperties>
</file>