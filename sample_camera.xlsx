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OneDrive - CONG TY CO PHAN THUC PHAM DAN ON\Dân Ôn Foods\THÁI\TỔNG CAMERA CÁC NHÀ MÁY\MP3TT-17-BMIT - Check list Camera Các Nhà Máy\Check list Tổng Các NM ( Năm 2026 )\MP3\NM1\"/>
    </mc:Choice>
  </mc:AlternateContent>
  <bookViews>
    <workbookView xWindow="0" yWindow="0" windowWidth="28800" windowHeight="12330" activeTab="2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A12" i="11" l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12" i="12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<sst xmlns="http://schemas.openxmlformats.org/spreadsheetml/2006/main" count="2520" uniqueCount="211">
  <si>
    <t>DOF CORP-MP3 Branch</t>
  </si>
  <si>
    <t>CHECK LIST CAMERA</t>
  </si>
  <si>
    <r>
      <t>Ký hiệu:</t>
    </r>
    <r>
      <rPr>
        <sz val="8"/>
        <rFont val="Times New Roman"/>
        <family val="1"/>
      </rPr>
      <t xml:space="preserve">  EP/QĐ-02-SSOP-05-BM-04</t>
    </r>
  </si>
  <si>
    <r>
      <t xml:space="preserve">Ngày ban hành: </t>
    </r>
    <r>
      <rPr>
        <sz val="8"/>
        <rFont val="Times New Roman"/>
        <family val="1"/>
      </rPr>
      <t>01/11/2024</t>
    </r>
  </si>
  <si>
    <r>
      <t>Lần sửa đổi:</t>
    </r>
    <r>
      <rPr>
        <sz val="8"/>
        <rFont val="Times New Roman"/>
        <family val="1"/>
      </rPr>
      <t xml:space="preserve"> 00</t>
    </r>
  </si>
  <si>
    <r>
      <t>BP biên soạn:</t>
    </r>
    <r>
      <rPr>
        <sz val="8"/>
        <rFont val="Times New Roman"/>
        <family val="1"/>
      </rPr>
      <t xml:space="preserve"> ĐATTP</t>
    </r>
  </si>
  <si>
    <t>Trang: 1/1</t>
  </si>
  <si>
    <t>ĐẦU GHI: 190.180.170.2 (NM1)</t>
  </si>
  <si>
    <t xml:space="preserve">Tháng </t>
  </si>
  <si>
    <t xml:space="preserve">Năm </t>
  </si>
  <si>
    <t>Ngày</t>
  </si>
  <si>
    <t>Mã số kính cần kiểm soát</t>
  </si>
  <si>
    <t>Ghi chú</t>
  </si>
  <si>
    <t>TT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</si>
  <si>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</si>
  <si>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</si>
  <si>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</si>
  <si>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</si>
  <si>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</si>
  <si>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</si>
  <si>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</si>
  <si>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</si>
  <si>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</si>
  <si>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</si>
  <si>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</si>
  <si>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</si>
  <si>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</si>
  <si>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</si>
  <si>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</si>
  <si>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</si>
  <si>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</si>
  <si>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</si>
  <si>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</si>
  <si>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</si>
  <si>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</si>
  <si>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</si>
  <si>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</si>
  <si>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</si>
  <si>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</si>
  <si>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</si>
  <si>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</si>
  <si>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</si>
  <si>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</si>
  <si>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</si>
  <si>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</si>
  <si>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</si>
  <si>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</si>
  <si>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</si>
  <si>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</si>
  <si>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</si>
  <si>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</si>
  <si>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</si>
  <si>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</si>
  <si>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</si>
  <si>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</si>
  <si>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</si>
  <si>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</si>
  <si>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</si>
  <si>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</si>
  <si>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</si>
  <si>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</si>
  <si>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</si>
  <si>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</si>
  <si>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</si>
  <si>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</si>
  <si>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</si>
  <si>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</si>
  <si>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</si>
  <si>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</si>
  <si>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</si>
  <si>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</si>
  <si>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</si>
  <si>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</si>
  <si>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</si>
  <si>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</si>
  <si>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</si>
  <si>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</si>
  <si>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</si>
  <si>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Tên Camera</t>
  </si>
  <si>
    <t>P1-Dock 01 Z6C1-36</t>
  </si>
  <si>
    <t>P1-Dock02 Z6C1-37</t>
  </si>
  <si>
    <t>P1-Dock03 Z6C1-38</t>
  </si>
  <si>
    <t>P1-Dock04 Z6C1-39</t>
  </si>
  <si>
    <t>P1-Dock05 Z6C1-40</t>
  </si>
  <si>
    <t>P1-Dock06 Z6C1-41</t>
  </si>
  <si>
    <t>P1-Dock07 Z6C1-42</t>
  </si>
  <si>
    <t>P1-Dock08 Z6C1-43</t>
  </si>
  <si>
    <t>P1-Dock total_Z7C1-44</t>
  </si>
  <si>
    <t>WH FG -C123-Z6</t>
  </si>
  <si>
    <t>WH-FG3_Z6</t>
  </si>
  <si>
    <t>WH-FG1_Z7</t>
  </si>
  <si>
    <t>WH-FG2-Z7</t>
  </si>
  <si>
    <t>WH Cool-Room-C151_Z5</t>
  </si>
  <si>
    <t>WH-Cool1_Z7</t>
  </si>
  <si>
    <t>WH-Cool2_Z7</t>
  </si>
  <si>
    <t>WH-Cool3_Z7</t>
  </si>
  <si>
    <t>WH-Cool4_Z7</t>
  </si>
  <si>
    <t>WH-Cool5_Z7</t>
  </si>
  <si>
    <t>WH-Cool6_Z7</t>
  </si>
  <si>
    <t>WH-Cool 7 C57_Z6</t>
  </si>
  <si>
    <t>PK-Room1_Z6</t>
  </si>
  <si>
    <t>PK-Room2_Z6</t>
  </si>
  <si>
    <t>Plastic mechine 01</t>
  </si>
  <si>
    <t>PK-Room4_Z5</t>
  </si>
  <si>
    <t>PK Jaz1 C62Z5</t>
  </si>
  <si>
    <t>PK-Jaz2_Z5</t>
  </si>
  <si>
    <t>Oil-Roaster1_Z5</t>
  </si>
  <si>
    <t>Oil-Roaster2_Z5</t>
  </si>
  <si>
    <t>Palletizer-Robot1_Z6</t>
  </si>
  <si>
    <t>Jar PK C146Z5</t>
  </si>
  <si>
    <t>Plastic mechine 02</t>
  </si>
  <si>
    <t>Water-Supply_Z5</t>
  </si>
  <si>
    <t>Dryer-Room1_Z5</t>
  </si>
  <si>
    <t>Dryer-Room2_Z5</t>
  </si>
  <si>
    <t>Corridor 1_Z5</t>
  </si>
  <si>
    <t>Corriod 2-Z5</t>
  </si>
  <si>
    <t>Packing Room C147_Z6</t>
  </si>
  <si>
    <t>Jar Packaging C152_Z5</t>
  </si>
  <si>
    <t>Jar Palletizer Robot C124-Z6</t>
  </si>
  <si>
    <t>Jar Palletizer Robot C125-Z6</t>
  </si>
  <si>
    <t>P1- EpNhua</t>
  </si>
  <si>
    <t>WH-Paking1_Z5</t>
  </si>
  <si>
    <t>WH-Packing2_Z8</t>
  </si>
  <si>
    <t>Blow-Molding1_Z5</t>
  </si>
  <si>
    <t>Blow-Molding2_Z5</t>
  </si>
  <si>
    <t>Air-Shower1_Z5</t>
  </si>
  <si>
    <t>Air-Shower2_Z5</t>
  </si>
  <si>
    <t>New PK 01</t>
  </si>
  <si>
    <t>Dryer 3-4 C112Z7</t>
  </si>
  <si>
    <t>New Packing Room C113Z7</t>
  </si>
  <si>
    <t>Pk- Room 6 - Z5</t>
  </si>
  <si>
    <t>PK- Room 7 - Z5</t>
  </si>
  <si>
    <t>Dock Total 2- Z7</t>
  </si>
  <si>
    <t>PK - JAR3- Z5</t>
  </si>
  <si>
    <t>Dryer Room 3_Z5</t>
  </si>
  <si>
    <t>Dryer Room 4_Z5</t>
  </si>
  <si>
    <t>Oil Roaster 3_Z5</t>
  </si>
  <si>
    <t>PK-Room 5_Z5</t>
  </si>
  <si>
    <t>Grading Room 1_Z7</t>
  </si>
  <si>
    <t>Grading Room 2_Z7</t>
  </si>
  <si>
    <t>Grading Room 03-C150_Z7</t>
  </si>
  <si>
    <t>Packaging Material 02-C153-Z7</t>
  </si>
  <si>
    <t>Ip Tương Ứng</t>
  </si>
  <si>
    <t>.36</t>
  </si>
  <si>
    <t>.37</t>
  </si>
  <si>
    <t>.38</t>
  </si>
  <si>
    <t>.40</t>
  </si>
  <si>
    <t>.41</t>
  </si>
  <si>
    <t>.42</t>
  </si>
  <si>
    <t>.43</t>
  </si>
  <si>
    <t>.44</t>
  </si>
  <si>
    <t>.123</t>
  </si>
  <si>
    <t>.50</t>
  </si>
  <si>
    <t>.48</t>
  </si>
  <si>
    <t>.49</t>
  </si>
  <si>
    <t>.151</t>
  </si>
  <si>
    <t>.51</t>
  </si>
  <si>
    <t>.52</t>
  </si>
  <si>
    <t>.53</t>
  </si>
  <si>
    <t>.54</t>
  </si>
  <si>
    <t>.55</t>
  </si>
  <si>
    <t>.56</t>
  </si>
  <si>
    <t>.57</t>
  </si>
  <si>
    <t>.58</t>
  </si>
  <si>
    <t>.59</t>
  </si>
  <si>
    <t>.161</t>
  </si>
  <si>
    <t>.61</t>
  </si>
  <si>
    <t>.62</t>
  </si>
  <si>
    <t>.63</t>
  </si>
  <si>
    <t>.122</t>
  </si>
  <si>
    <t>.65</t>
  </si>
  <si>
    <t>.66</t>
  </si>
  <si>
    <t>.146</t>
  </si>
  <si>
    <t>.162</t>
  </si>
  <si>
    <t>.69</t>
  </si>
  <si>
    <t>.70</t>
  </si>
  <si>
    <t>.71</t>
  </si>
  <si>
    <t>.144</t>
  </si>
  <si>
    <t>.145</t>
  </si>
  <si>
    <t>.147</t>
  </si>
  <si>
    <t>.152</t>
  </si>
  <si>
    <t>.124</t>
  </si>
  <si>
    <t>.125</t>
  </si>
  <si>
    <t>.194</t>
  </si>
  <si>
    <t>.79</t>
  </si>
  <si>
    <t>.80</t>
  </si>
  <si>
    <t>.67</t>
  </si>
  <si>
    <t>.104</t>
  </si>
  <si>
    <t>.105</t>
  </si>
  <si>
    <t>.106</t>
  </si>
  <si>
    <t>.167</t>
  </si>
  <si>
    <t>.112</t>
  </si>
  <si>
    <t>.113</t>
  </si>
  <si>
    <t>.133</t>
  </si>
  <si>
    <t>.132</t>
  </si>
  <si>
    <t>.134</t>
  </si>
  <si>
    <t>.131</t>
  </si>
  <si>
    <t>.129</t>
  </si>
  <si>
    <t>.128</t>
  </si>
  <si>
    <t>.127</t>
  </si>
  <si>
    <t>.130</t>
  </si>
  <si>
    <t>.116</t>
  </si>
  <si>
    <t>.117</t>
  </si>
  <si>
    <t>.150</t>
  </si>
  <si>
    <t>Ghi chú:</t>
  </si>
  <si>
    <t>Người xem xét</t>
  </si>
  <si>
    <t>Khu vực:  MP3</t>
  </si>
  <si>
    <t>Khu vực:   MP3</t>
  </si>
  <si>
    <t>Không check ( bình thường )</t>
  </si>
  <si>
    <t>F là Fail ( mất tín hiệu )</t>
  </si>
  <si>
    <t>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</si>
</sst>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1"/>
      <name val="Calibri "/>
    </font>
    <font>
      <b/>
      <sz val="12"/>
      <name val="Calibri "/>
    </font>
    <font>
      <b/>
      <sz val="10"/>
      <name val="Calibri "/>
    </font>
    <font>
      <b/>
      <sz val="11"/>
      <name val="Arial"/>
      <family val="2"/>
    </font>
    <font>
      <b/>
      <i/>
      <u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left" vertical="center" indent="1"/>
    </xf>
    <xf numFmtId="49" fontId="9" fillId="0" borderId="1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/>
    <xf numFmtId="49" fontId="13" fillId="2" borderId="1" xfId="0" applyNumberFormat="1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5" fillId="0" borderId="0" xfId="0" applyFont="1" applyBorder="1" applyAlignment="1"/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K$6" max="12" min="1" page="10"/>
</file>

<file path=xl/ctrlProps/ctrlProp2.xml><?xml version="1.0" encoding="utf-8"?>
<formControlPr xmlns="http://schemas.microsoft.com/office/spreadsheetml/2009/9/main" objectType="Spin" dx="22" fmlaLink="$N$6" max="2060" min="2025" page="10" val="2026"/>
</file>

<file path=xl/ctrlProps/ctrlProp3.xml><?xml version="1.0" encoding="utf-8"?>
<formControlPr xmlns="http://schemas.microsoft.com/office/spreadsheetml/2009/9/main" objectType="Spin" dx="22" fmlaLink="$K$6" max="12" min="1" page="10" val="2"/>
</file>

<file path=xl/ctrlProps/ctrlProp4.xml><?xml version="1.0" encoding="utf-8"?>
<formControlPr xmlns="http://schemas.microsoft.com/office/spreadsheetml/2009/9/main" objectType="Spin" dx="22" fmlaLink="$N$6" max="2060" min="2025" page="10" val="2026"/>
</file>

<file path=xl/ctrlProps/ctrlProp5.xml><?xml version="1.0" encoding="utf-8"?>
<formControlPr xmlns="http://schemas.microsoft.com/office/spreadsheetml/2009/9/main" objectType="Spin" dx="22" fmlaLink="$K$6" max="12" min="1" page="10" val="3"/>
</file>

<file path=xl/ctrlProps/ctrlProp6.xml><?xml version="1.0" encoding="utf-8"?>
<formControlPr xmlns="http://schemas.microsoft.com/office/spreadsheetml/2009/9/main" objectType="Spin" dx="22" fmlaLink="$N$6" max="2060" min="2025" page="10" val="2026"/>
</file>

<file path=xl/ctrlProps/ctrlProp7.xml><?xml version="1.0" encoding="utf-8"?>
<formControlPr xmlns="http://schemas.microsoft.com/office/spreadsheetml/2009/9/main" objectType="Spin" dx="22" fmlaLink="$K$6" max="12" min="1" page="10" val="4"/>
</file>

<file path=xl/ctrlProps/ctrlProp8.xml><?xml version="1.0" encoding="utf-8"?>
<formControlPr xmlns="http://schemas.microsoft.com/office/spreadsheetml/2009/9/main" objectType="Spin" dx="22" fmlaLink="$N$6" max="2060" min="2025" page="10" val="2026"/>
</file>

<file path=xl/ctrlProps/ctrlProp9.xml><?xml version="1.0" encoding="utf-8"?>
<formControlPr xmlns="http://schemas.microsoft.com/office/spreadsheetml/2009/9/main" objectType="Spin" dx="22" fmlaLink="$K$6" max="12" min="1" page="10" val="5"/>
</file>

<file path=xl/ctrlProps/ctrlProp10.xml><?xml version="1.0" encoding="utf-8"?>
<formControlPr xmlns="http://schemas.microsoft.com/office/spreadsheetml/2009/9/main" objectType="Spin" dx="22" fmlaLink="$N$6" max="2060" min="2025" page="10" val="2026"/>
</file>

<file path=xl/ctrlProps/ctrlProp11.xml><?xml version="1.0" encoding="utf-8"?>
<formControlPr xmlns="http://schemas.microsoft.com/office/spreadsheetml/2009/9/main" objectType="Spin" dx="22" fmlaLink="$K$6" max="12" min="1" page="10" val="6"/>
</file>

<file path=xl/ctrlProps/ctrlProp12.xml><?xml version="1.0" encoding="utf-8"?>
<formControlPr xmlns="http://schemas.microsoft.com/office/spreadsheetml/2009/9/main" objectType="Spin" dx="22" fmlaLink="$N$6" max="2060" min="2025" page="10" val="2026"/>
</file>

<file path=xl/ctrlProps/ctrlProp13.xml><?xml version="1.0" encoding="utf-8"?>
<formControlPr xmlns="http://schemas.microsoft.com/office/spreadsheetml/2009/9/main" objectType="Spin" dx="22" fmlaLink="$K$6" max="12" min="1" page="10" val="7"/>
</file>

<file path=xl/ctrlProps/ctrlProp14.xml><?xml version="1.0" encoding="utf-8"?>
<formControlPr xmlns="http://schemas.microsoft.com/office/spreadsheetml/2009/9/main" objectType="Spin" dx="22" fmlaLink="$N$6" max="2060" min="2025" page="10" val="2026"/>
</file>

<file path=xl/ctrlProps/ctrlProp15.xml><?xml version="1.0" encoding="utf-8"?>
<formControlPr xmlns="http://schemas.microsoft.com/office/spreadsheetml/2009/9/main" objectType="Spin" dx="22" fmlaLink="$K$6" max="12" min="1" page="10" val="8"/>
</file>

<file path=xl/ctrlProps/ctrlProp16.xml><?xml version="1.0" encoding="utf-8"?>
<formControlPr xmlns="http://schemas.microsoft.com/office/spreadsheetml/2009/9/main" objectType="Spin" dx="22" fmlaLink="$N$6" max="2060" min="2025" page="10" val="2026"/>
</file>

<file path=xl/ctrlProps/ctrlProp17.xml><?xml version="1.0" encoding="utf-8"?>
<formControlPr xmlns="http://schemas.microsoft.com/office/spreadsheetml/2009/9/main" objectType="Spin" dx="22" fmlaLink="$K$6" max="12" min="1" page="10" val="9"/>
</file>

<file path=xl/ctrlProps/ctrlProp18.xml><?xml version="1.0" encoding="utf-8"?>
<formControlPr xmlns="http://schemas.microsoft.com/office/spreadsheetml/2009/9/main" objectType="Spin" dx="22" fmlaLink="$N$6" max="2060" min="2025" page="10" val="2026"/>
</file>

<file path=xl/ctrlProps/ctrlProp19.xml><?xml version="1.0" encoding="utf-8"?>
<formControlPr xmlns="http://schemas.microsoft.com/office/spreadsheetml/2009/9/main" objectType="Spin" dx="22" fmlaLink="$K$6" max="12" min="1" page="10" val="10"/>
</file>

<file path=xl/ctrlProps/ctrlProp20.xml><?xml version="1.0" encoding="utf-8"?>
<formControlPr xmlns="http://schemas.microsoft.com/office/spreadsheetml/2009/9/main" objectType="Spin" dx="22" fmlaLink="$N$6" max="2060" min="2025" page="10" val="2026"/>
</file>

<file path=xl/ctrlProps/ctrlProp21.xml><?xml version="1.0" encoding="utf-8"?>
<formControlPr xmlns="http://schemas.microsoft.com/office/spreadsheetml/2009/9/main" objectType="Spin" dx="22" fmlaLink="$K$6" max="12" min="1" page="10" val="11"/>
</file>

<file path=xl/ctrlProps/ctrlProp22.xml><?xml version="1.0" encoding="utf-8"?>
<formControlPr xmlns="http://schemas.microsoft.com/office/spreadsheetml/2009/9/main" objectType="Spin" dx="22" fmlaLink="$N$6" max="2060" min="2025" page="10" val="2026"/>
</file>

<file path=xl/ctrlProps/ctrlProp23.xml><?xml version="1.0" encoding="utf-8"?>
<formControlPr xmlns="http://schemas.microsoft.com/office/spreadsheetml/2009/9/main" objectType="Spin" dx="22" fmlaLink="$K$6" max="12" min="1" page="10" val="12"/>
</file>

<file path=xl/ctrlProps/ctrlProp24.xml><?xml version="1.0" encoding="utf-8"?>
<formControlPr xmlns="http://schemas.microsoft.com/office/spreadsheetml/2009/9/main" objectType="Spin" dx="22" fmlaLink="$N$6" max="2060" min="2025" page="10" val="20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4098" name="Spinner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5122" name="Spinner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6146" name="Spinner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7169" name="Spinne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9218" name="Spinner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42" name="Spinner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1265" name="Spinner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1266" name="Spinner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2289" name="Spinne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2290" name="Spinner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ctrlProp" Target="../ctrlProps/ctrlProp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openxmlformats.org/officeDocument/2006/relationships/ctrlProp" Target="../ctrlProps/ctrlProp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A12" sqref="A12:B12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2.570312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206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46023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46024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46025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46026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46027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46028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46029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46030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46031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46032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46033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46034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46035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46036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46037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46038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46039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46040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46041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46042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46043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46044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46045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46046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46047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46048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46049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46050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46051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46052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>
        <f>IF(A41="","",IF(A41=EOMONTH(DATE($N$6,$K$6,1),0),"",A41+1))</f>
        <v>46053</v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BN11" sqref="BN11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2.570312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2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46054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46055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46056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46057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46058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46059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46060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46061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46062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46063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46064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46065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46066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46067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46068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46069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46070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46071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46072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46073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46074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46075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46076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46077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46078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46079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46080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46081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 t="str">
        <f>IF(A39="","",IF(A39=EOMONTH(DATE($N$6,$K$6,1),0),"",A39+1))</f>
        <v/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 t="str">
        <f>IF(A40="","",IF(A40=EOMONTH(DATE($N$6,$K$6,1),0),"",A40+1))</f>
        <v/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 t="str">
        <f>IF(A41="","",IF(A41=EOMONTH(DATE($N$6,$K$6,1),0),"",A41+1))</f>
        <v/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tabSelected="1" zoomScale="70" zoomScaleNormal="70" workbookViewId="0">
      <selection activeCell="F39" sqref="F39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0.710937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 ht="22.5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3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46082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46083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46084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46085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46086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46087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46088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46089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46090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46091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46092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46093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46094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46095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46096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46097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46098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46099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46100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46101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46102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46103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46104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46105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46106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46107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46108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46109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46110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46111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>
        <f>IF(A41="","",IF(A41=EOMONTH(DATE($N$6,$K$6,1),0),"",A41+1))</f>
        <v>46112</v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F37" sqref="F37"/>
    </sheetView>
  </sheetViews>
  <sheetFormatPr defaultRowHeight="15"/>
  <cols>
    <col min="1" max="2" width="17.42578125" bestFit="1" customWidth="1"/>
    <col min="3" max="3" width="21.85546875" bestFit="1" customWidth="1"/>
    <col min="4" max="7" width="21.7109375" bestFit="1" customWidth="1"/>
    <col min="8" max="8" width="21.42578125" bestFit="1" customWidth="1"/>
    <col min="9" max="10" width="21.7109375" bestFit="1" customWidth="1"/>
    <col min="11" max="11" width="25.140625" bestFit="1" customWidth="1"/>
    <col min="12" max="12" width="18.42578125" bestFit="1" customWidth="1"/>
    <col min="13" max="13" width="13.7109375" bestFit="1" customWidth="1"/>
    <col min="14" max="15" width="13.42578125" bestFit="1" customWidth="1"/>
    <col min="16" max="16" width="26.28515625" bestFit="1" customWidth="1"/>
    <col min="17" max="17" width="15.140625" bestFit="1" customWidth="1"/>
    <col min="18" max="22" width="15.42578125" bestFit="1" customWidth="1"/>
    <col min="23" max="23" width="20.5703125" bestFit="1" customWidth="1"/>
    <col min="24" max="24" width="15.85546875" bestFit="1" customWidth="1"/>
    <col min="25" max="25" width="16.28515625" bestFit="1" customWidth="1"/>
    <col min="26" max="26" width="20.28515625" bestFit="1" customWidth="1"/>
    <col min="27" max="27" width="16.28515625" bestFit="1" customWidth="1"/>
    <col min="28" max="28" width="16.42578125" bestFit="1" customWidth="1"/>
    <col min="29" max="29" width="13.85546875" bestFit="1" customWidth="1"/>
    <col min="30" max="30" width="17.7109375" bestFit="1" customWidth="1"/>
    <col min="31" max="31" width="18.140625" bestFit="1" customWidth="1"/>
    <col min="32" max="32" width="22.7109375" bestFit="1" customWidth="1"/>
    <col min="33" max="33" width="16" bestFit="1" customWidth="1"/>
    <col min="34" max="34" width="20.5703125" bestFit="1" customWidth="1"/>
    <col min="35" max="35" width="19.28515625" bestFit="1" customWidth="1"/>
    <col min="36" max="36" width="18.140625" bestFit="1" customWidth="1"/>
    <col min="37" max="37" width="18.42578125" bestFit="1" customWidth="1"/>
    <col min="38" max="38" width="14.7109375" bestFit="1" customWidth="1"/>
    <col min="39" max="39" width="14" bestFit="1" customWidth="1"/>
    <col min="40" max="41" width="25.28515625" bestFit="1" customWidth="1"/>
    <col min="42" max="43" width="30.42578125" bestFit="1" customWidth="1"/>
    <col min="44" max="44" width="13.140625" bestFit="1" customWidth="1"/>
    <col min="45" max="45" width="17.42578125" bestFit="1" customWidth="1"/>
    <col min="46" max="46" width="19.28515625" bestFit="1" customWidth="1"/>
    <col min="47" max="47" width="20" bestFit="1" customWidth="1"/>
    <col min="48" max="48" width="20.28515625" bestFit="1" customWidth="1"/>
    <col min="49" max="49" width="17.42578125" bestFit="1" customWidth="1"/>
    <col min="50" max="50" width="17.7109375" bestFit="1" customWidth="1"/>
    <col min="51" max="51" width="11.7109375" bestFit="1" customWidth="1"/>
    <col min="52" max="52" width="18.42578125" bestFit="1" customWidth="1"/>
    <col min="53" max="53" width="28.42578125" bestFit="1" customWidth="1"/>
    <col min="54" max="54" width="17.7109375" bestFit="1" customWidth="1"/>
    <col min="55" max="56" width="18.140625" bestFit="1" customWidth="1"/>
    <col min="57" max="57" width="16" bestFit="1" customWidth="1"/>
    <col min="58" max="59" width="18.42578125" bestFit="1" customWidth="1"/>
    <col min="60" max="60" width="18.140625" bestFit="1" customWidth="1"/>
    <col min="61" max="61" width="16.7109375" bestFit="1" customWidth="1"/>
    <col min="62" max="62" width="21" bestFit="1" customWidth="1"/>
    <col min="63" max="63" width="21.42578125" bestFit="1" customWidth="1"/>
    <col min="64" max="64" width="28.85546875" bestFit="1" customWidth="1"/>
    <col min="65" max="65" width="5.140625" bestFit="1" customWidth="1"/>
    <col min="66" max="66" width="31.85546875" bestFit="1" customWidth="1"/>
    <col min="67" max="67" width="11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 ht="22.5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4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46113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46114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46115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46116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46117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46118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46119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46120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46121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46122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46123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46124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46125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46126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46127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46128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46129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46130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46131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46132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46133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46134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46135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46136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46137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46138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46139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46140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46141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46142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 t="str">
        <f>IF(A41="","",IF(A41=EOMONTH(DATE($N$6,$K$6,1),0),"",A41+1))</f>
        <v/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J32" sqref="J32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2.570312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5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46143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46144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46145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46146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46147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46148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46149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46150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46151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46152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46153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46154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46155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46156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46157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46158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46159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46160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46161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46162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46163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46164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46165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46166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46167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46168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46169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46170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46171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46172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>
        <f>IF(A41="","",IF(A41=EOMONTH(DATE($N$6,$K$6,1),0),"",A41+1))</f>
        <v>46173</v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BE54" sqref="BE54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2.570312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6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46174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46175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46176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46177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46178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46179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46180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46181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46182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46183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46184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46185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46186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46187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46188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46189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46190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46191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46192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46193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46194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46195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46196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46197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46198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46199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46200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46201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46202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46203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 t="str">
        <f>IF(A41="","",IF(A41=EOMONTH(DATE($N$6,$K$6,1),0),"",A41+1))</f>
        <v/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BF34" sqref="BF34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2.570312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7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46204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46205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46206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46207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46208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46209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46210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46211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46212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46213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46214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46215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46216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46217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46218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46219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46220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46221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46222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46223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46224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46225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46226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46227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46228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46229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46230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46231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46232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46233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>
        <f>IF(A41="","",IF(A41=EOMONTH(DATE($N$6,$K$6,1),0),"",A41+1))</f>
        <v>46234</v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AG31" sqref="AG31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2.570312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8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46235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46236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46237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46238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46239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46240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46241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46242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46243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46244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46245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46246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46247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46248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46249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46250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46251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46252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46253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46254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46255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46256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46257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46258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46259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46260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46261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46262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46263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46264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>
        <f>IF(A41="","",IF(A41=EOMONTH(DATE($N$6,$K$6,1),0),"",A41+1))</f>
        <v>46265</v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BN24" sqref="BN24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2.570312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9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46266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46267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46268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46269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46270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46271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46272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46273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46274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46275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46276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46277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46278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46279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46280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46281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46282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46283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46284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46285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46286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46287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46288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46289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46290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46291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46292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46293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46294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46295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 t="str">
        <f>IF(A41="","",IF(A41=EOMONTH(DATE($N$6,$K$6,1),0),"",A41+1))</f>
        <v/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BO28" sqref="BO28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25.5703125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10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46296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46297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46298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46299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46300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46301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46302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46303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46304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46305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46306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46307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46308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46309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46310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46311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46312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46313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46314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46315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46316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46317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46318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46319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46320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46321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46322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46323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46324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46325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>
        <f>IF(A41="","",IF(A41=EOMONTH(DATE($N$6,$K$6,1),0),"",A41+1))</f>
        <v>46326</v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BL38" sqref="BL38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2.570312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11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46327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46328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46329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46330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46331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46332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46333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46334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46335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46336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46337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46338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46339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46340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46341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46342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46343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46344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46345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46346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46347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46348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46349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46350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46351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46352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46353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46354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46355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46356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 t="str">
        <f>IF(A41="","",IF(A41=EOMONTH(DATE($N$6,$K$6,1),0),"",A41+1))</f>
        <v/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M25" sqref="M25"/>
    </sheetView>
  </sheetViews>
  <sheetFormatPr defaultRowHeight="15"/>
  <cols>
    <col min="1" max="1" width="20" bestFit="1" customWidth="1"/>
    <col min="2" max="2" width="45" bestFit="1" customWidth="1"/>
    <col min="3" max="3" width="25" bestFit="1" customWidth="1"/>
    <col min="4" max="7" width="24.85546875" bestFit="1" customWidth="1"/>
    <col min="8" max="8" width="24.42578125" bestFit="1" customWidth="1"/>
    <col min="9" max="10" width="24.85546875" bestFit="1" customWidth="1"/>
    <col min="11" max="11" width="28.7109375" bestFit="1" customWidth="1"/>
    <col min="12" max="12" width="21" bestFit="1" customWidth="1"/>
    <col min="13" max="13" width="15.7109375" bestFit="1" customWidth="1"/>
    <col min="14" max="14" width="15.28515625" bestFit="1" customWidth="1"/>
    <col min="15" max="15" width="15.42578125" bestFit="1" customWidth="1"/>
    <col min="16" max="16" width="30" bestFit="1" customWidth="1"/>
    <col min="17" max="17" width="17.28515625" bestFit="1" customWidth="1"/>
    <col min="18" max="22" width="17.7109375" bestFit="1" customWidth="1"/>
    <col min="23" max="23" width="23.5703125" bestFit="1" customWidth="1"/>
    <col min="24" max="24" width="18.140625" bestFit="1" customWidth="1"/>
    <col min="25" max="25" width="18.5703125" bestFit="1" customWidth="1"/>
    <col min="26" max="26" width="23.140625" bestFit="1" customWidth="1"/>
    <col min="27" max="27" width="18.5703125" bestFit="1" customWidth="1"/>
    <col min="28" max="28" width="18.7109375" bestFit="1" customWidth="1"/>
    <col min="29" max="29" width="15.85546875" bestFit="1" customWidth="1"/>
    <col min="30" max="30" width="20.28515625" bestFit="1" customWidth="1"/>
    <col min="31" max="31" width="20.7109375" bestFit="1" customWidth="1"/>
    <col min="32" max="32" width="26" bestFit="1" customWidth="1"/>
    <col min="33" max="33" width="18.28515625" bestFit="1" customWidth="1"/>
    <col min="34" max="34" width="23.5703125" bestFit="1" customWidth="1"/>
    <col min="35" max="35" width="22" bestFit="1" customWidth="1"/>
    <col min="36" max="36" width="20.7109375" bestFit="1" customWidth="1"/>
    <col min="37" max="37" width="21.140625" bestFit="1" customWidth="1"/>
    <col min="38" max="38" width="16.85546875" bestFit="1" customWidth="1"/>
    <col min="39" max="39" width="16" bestFit="1" customWidth="1"/>
    <col min="40" max="41" width="28.85546875" bestFit="1" customWidth="1"/>
    <col min="42" max="43" width="34.85546875" bestFit="1" customWidth="1"/>
    <col min="44" max="44" width="15" bestFit="1" customWidth="1"/>
    <col min="45" max="45" width="20" bestFit="1" customWidth="1"/>
    <col min="46" max="46" width="22" bestFit="1" customWidth="1"/>
    <col min="47" max="47" width="22.85546875" bestFit="1" customWidth="1"/>
    <col min="48" max="48" width="23.140625" bestFit="1" customWidth="1"/>
    <col min="49" max="49" width="20" bestFit="1" customWidth="1"/>
    <col min="50" max="50" width="20.28515625" bestFit="1" customWidth="1"/>
    <col min="51" max="51" width="13.42578125" bestFit="1" customWidth="1"/>
    <col min="52" max="52" width="21.140625" bestFit="1" customWidth="1"/>
    <col min="53" max="53" width="32.5703125" bestFit="1" customWidth="1"/>
    <col min="54" max="54" width="20.28515625" bestFit="1" customWidth="1"/>
    <col min="55" max="56" width="20.7109375" bestFit="1" customWidth="1"/>
    <col min="57" max="57" width="18.28515625" bestFit="1" customWidth="1"/>
    <col min="58" max="59" width="21.140625" bestFit="1" customWidth="1"/>
    <col min="60" max="60" width="20.7109375" bestFit="1" customWidth="1"/>
    <col min="61" max="61" width="19.140625" bestFit="1" customWidth="1"/>
    <col min="62" max="62" width="24" bestFit="1" customWidth="1"/>
    <col min="63" max="63" width="24.42578125" bestFit="1" customWidth="1"/>
    <col min="64" max="64" width="33" bestFit="1" customWidth="1"/>
    <col min="65" max="65" width="5.85546875" bestFit="1" customWidth="1"/>
    <col min="66" max="66" width="36" bestFit="1" customWidth="1"/>
    <col min="67" max="67" width="12.5703125" bestFit="1" customWidth="1"/>
  </cols>
  <sheetData>
    <row r="1" spans="1:67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43" t="s">
        <v>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5"/>
    </row>
    <row r="2" spans="1:67">
      <c r="A2" s="33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3" t="s">
        <v>3</v>
      </c>
      <c r="O2" s="44"/>
      <c r="P2" s="45"/>
      <c r="Q2" s="43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5"/>
      <c r="BO2" s="1" t="s">
        <v>4</v>
      </c>
    </row>
    <row r="3" spans="1:67">
      <c r="A3" s="33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3" t="s">
        <v>5</v>
      </c>
      <c r="O3" s="44"/>
      <c r="P3" s="45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5"/>
      <c r="BO3" s="1" t="s">
        <v>6</v>
      </c>
    </row>
    <row r="4" spans="1:67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1:67" ht="18.7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spans="1:67" ht="15.75">
      <c r="A6" s="2" t="s">
        <v>206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12</v>
      </c>
      <c r="L6" s="3"/>
      <c r="M6" s="3" t="s">
        <v>9</v>
      </c>
      <c r="N6" s="24">
        <v>2026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>
      <c r="A8" s="25" t="s">
        <v>10</v>
      </c>
      <c r="B8" s="27" t="s">
        <v>11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30" t="s">
        <v>12</v>
      </c>
    </row>
    <row r="9" spans="1:67">
      <c r="A9" s="25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5" t="s">
        <v>46</v>
      </c>
      <c r="AJ9" s="5" t="s">
        <v>47</v>
      </c>
      <c r="AK9" s="5" t="s">
        <v>48</v>
      </c>
      <c r="AL9" s="5" t="s">
        <v>49</v>
      </c>
      <c r="AM9" s="5" t="s">
        <v>50</v>
      </c>
      <c r="AN9" s="5" t="s">
        <v>51</v>
      </c>
      <c r="AO9" s="5" t="s">
        <v>52</v>
      </c>
      <c r="AP9" s="5" t="s">
        <v>53</v>
      </c>
      <c r="AQ9" s="5" t="s">
        <v>54</v>
      </c>
      <c r="AR9" s="5" t="s">
        <v>55</v>
      </c>
      <c r="AS9" s="5" t="s">
        <v>56</v>
      </c>
      <c r="AT9" s="5" t="s">
        <v>57</v>
      </c>
      <c r="AU9" s="5" t="s">
        <v>58</v>
      </c>
      <c r="AV9" s="5" t="s">
        <v>59</v>
      </c>
      <c r="AW9" s="5" t="s">
        <v>60</v>
      </c>
      <c r="AX9" s="5" t="s">
        <v>61</v>
      </c>
      <c r="AY9" s="5" t="s">
        <v>62</v>
      </c>
      <c r="AZ9" s="5" t="s">
        <v>63</v>
      </c>
      <c r="BA9" s="5" t="s">
        <v>64</v>
      </c>
      <c r="BB9" s="5" t="s">
        <v>65</v>
      </c>
      <c r="BC9" s="5" t="s">
        <v>66</v>
      </c>
      <c r="BD9" s="5" t="s">
        <v>67</v>
      </c>
      <c r="BE9" s="5" t="s">
        <v>68</v>
      </c>
      <c r="BF9" s="5" t="s">
        <v>69</v>
      </c>
      <c r="BG9" s="5" t="s">
        <v>70</v>
      </c>
      <c r="BH9" s="5" t="s">
        <v>71</v>
      </c>
      <c r="BI9" s="5" t="s">
        <v>72</v>
      </c>
      <c r="BJ9" s="5" t="s">
        <v>73</v>
      </c>
      <c r="BK9" s="5" t="s">
        <v>74</v>
      </c>
      <c r="BL9" s="5" t="s">
        <v>75</v>
      </c>
      <c r="BM9" s="5" t="s">
        <v>76</v>
      </c>
      <c r="BN9" s="5" t="s">
        <v>77</v>
      </c>
      <c r="BO9" s="31"/>
    </row>
    <row r="10" spans="1:67" ht="15.75">
      <c r="A10" s="25"/>
      <c r="B10" s="6" t="s">
        <v>78</v>
      </c>
      <c r="C10" s="7" t="s">
        <v>79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  <c r="I10" s="7" t="s">
        <v>85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O10" s="7" t="s">
        <v>91</v>
      </c>
      <c r="P10" s="7" t="s">
        <v>92</v>
      </c>
      <c r="Q10" s="7" t="s">
        <v>93</v>
      </c>
      <c r="R10" s="7" t="s">
        <v>94</v>
      </c>
      <c r="S10" s="7" t="s">
        <v>95</v>
      </c>
      <c r="T10" s="7" t="s">
        <v>96</v>
      </c>
      <c r="U10" s="7" t="s">
        <v>97</v>
      </c>
      <c r="V10" s="7" t="s">
        <v>98</v>
      </c>
      <c r="W10" s="7" t="s">
        <v>99</v>
      </c>
      <c r="X10" s="7" t="s">
        <v>100</v>
      </c>
      <c r="Y10" s="7" t="s">
        <v>101</v>
      </c>
      <c r="Z10" s="7" t="s">
        <v>102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7" t="s">
        <v>107</v>
      </c>
      <c r="AF10" s="7" t="s">
        <v>108</v>
      </c>
      <c r="AG10" s="7" t="s">
        <v>109</v>
      </c>
      <c r="AH10" s="7" t="s">
        <v>110</v>
      </c>
      <c r="AI10" s="7" t="s">
        <v>111</v>
      </c>
      <c r="AJ10" s="7" t="s">
        <v>112</v>
      </c>
      <c r="AK10" s="7" t="s">
        <v>113</v>
      </c>
      <c r="AL10" s="7" t="s">
        <v>114</v>
      </c>
      <c r="AM10" s="7" t="s">
        <v>115</v>
      </c>
      <c r="AN10" s="7" t="s">
        <v>116</v>
      </c>
      <c r="AO10" s="7" t="s">
        <v>117</v>
      </c>
      <c r="AP10" s="7" t="s">
        <v>118</v>
      </c>
      <c r="AQ10" s="7" t="s">
        <v>119</v>
      </c>
      <c r="AR10" s="7" t="s">
        <v>120</v>
      </c>
      <c r="AS10" s="7" t="s">
        <v>121</v>
      </c>
      <c r="AT10" s="7" t="s">
        <v>122</v>
      </c>
      <c r="AU10" s="7" t="s">
        <v>123</v>
      </c>
      <c r="AV10" s="7" t="s">
        <v>124</v>
      </c>
      <c r="AW10" s="7" t="s">
        <v>125</v>
      </c>
      <c r="AX10" s="7" t="s">
        <v>126</v>
      </c>
      <c r="AY10" s="7" t="s">
        <v>127</v>
      </c>
      <c r="AZ10" s="7" t="s">
        <v>128</v>
      </c>
      <c r="BA10" s="7" t="s">
        <v>129</v>
      </c>
      <c r="BB10" s="7" t="s">
        <v>130</v>
      </c>
      <c r="BC10" s="7" t="s">
        <v>131</v>
      </c>
      <c r="BD10" s="7" t="s">
        <v>132</v>
      </c>
      <c r="BE10" s="7" t="s">
        <v>133</v>
      </c>
      <c r="BF10" s="7" t="s">
        <v>134</v>
      </c>
      <c r="BG10" s="7" t="s">
        <v>135</v>
      </c>
      <c r="BH10" s="7" t="s">
        <v>136</v>
      </c>
      <c r="BI10" s="7" t="s">
        <v>137</v>
      </c>
      <c r="BJ10" s="7" t="s">
        <v>138</v>
      </c>
      <c r="BK10" s="7" t="s">
        <v>139</v>
      </c>
      <c r="BL10" s="7" t="s">
        <v>140</v>
      </c>
      <c r="BM10" s="8"/>
      <c r="BN10" s="9" t="s">
        <v>141</v>
      </c>
      <c r="BO10" s="31"/>
    </row>
    <row r="11" spans="1:67">
      <c r="A11" s="26"/>
      <c r="B11" s="6" t="s">
        <v>142</v>
      </c>
      <c r="C11" s="10" t="s">
        <v>143</v>
      </c>
      <c r="D11" s="10" t="s">
        <v>144</v>
      </c>
      <c r="E11" s="10" t="s">
        <v>145</v>
      </c>
      <c r="F11" s="10">
        <v>1.39</v>
      </c>
      <c r="G11" s="10" t="s">
        <v>146</v>
      </c>
      <c r="H11" s="10" t="s">
        <v>147</v>
      </c>
      <c r="I11" s="10" t="s">
        <v>148</v>
      </c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0" t="s">
        <v>159</v>
      </c>
      <c r="U11" s="10" t="s">
        <v>160</v>
      </c>
      <c r="V11" s="10" t="s">
        <v>161</v>
      </c>
      <c r="W11" s="10" t="s">
        <v>162</v>
      </c>
      <c r="X11" s="10" t="s">
        <v>163</v>
      </c>
      <c r="Y11" s="10" t="s">
        <v>164</v>
      </c>
      <c r="Z11" s="10" t="s">
        <v>165</v>
      </c>
      <c r="AA11" s="10" t="s">
        <v>166</v>
      </c>
      <c r="AB11" s="10" t="s">
        <v>167</v>
      </c>
      <c r="AC11" s="10" t="s">
        <v>168</v>
      </c>
      <c r="AD11" s="10" t="s">
        <v>169</v>
      </c>
      <c r="AE11" s="10" t="s">
        <v>170</v>
      </c>
      <c r="AF11" s="10" t="s">
        <v>171</v>
      </c>
      <c r="AG11" s="10" t="s">
        <v>172</v>
      </c>
      <c r="AH11" s="10" t="s">
        <v>173</v>
      </c>
      <c r="AI11" s="10" t="s">
        <v>174</v>
      </c>
      <c r="AJ11" s="10" t="s">
        <v>175</v>
      </c>
      <c r="AK11" s="10" t="s">
        <v>176</v>
      </c>
      <c r="AL11" s="10" t="s">
        <v>177</v>
      </c>
      <c r="AM11" s="10" t="s">
        <v>178</v>
      </c>
      <c r="AN11" s="10" t="s">
        <v>179</v>
      </c>
      <c r="AO11" s="10" t="s">
        <v>180</v>
      </c>
      <c r="AP11" s="10" t="s">
        <v>181</v>
      </c>
      <c r="AQ11" s="10" t="s">
        <v>182</v>
      </c>
      <c r="AR11" s="10" t="s">
        <v>183</v>
      </c>
      <c r="AS11" s="10" t="s">
        <v>184</v>
      </c>
      <c r="AT11" s="10" t="s">
        <v>185</v>
      </c>
      <c r="AU11" s="10" t="s">
        <v>186</v>
      </c>
      <c r="AV11" s="10" t="s">
        <v>187</v>
      </c>
      <c r="AW11" s="10" t="s">
        <v>188</v>
      </c>
      <c r="AX11" s="10" t="s">
        <v>189</v>
      </c>
      <c r="AY11" s="10" t="s">
        <v>190</v>
      </c>
      <c r="AZ11" s="10" t="s">
        <v>191</v>
      </c>
      <c r="BA11" s="10" t="s">
        <v>192</v>
      </c>
      <c r="BB11" s="10" t="s">
        <v>193</v>
      </c>
      <c r="BC11" s="10" t="s">
        <v>194</v>
      </c>
      <c r="BD11" s="10" t="s">
        <v>195</v>
      </c>
      <c r="BE11" s="10" t="s">
        <v>196</v>
      </c>
      <c r="BF11" s="10" t="s">
        <v>197</v>
      </c>
      <c r="BG11" s="10" t="s">
        <v>198</v>
      </c>
      <c r="BH11" s="10" t="s">
        <v>199</v>
      </c>
      <c r="BI11" s="10" t="s">
        <v>200</v>
      </c>
      <c r="BJ11" s="10" t="s">
        <v>201</v>
      </c>
      <c r="BK11" s="10" t="s">
        <v>202</v>
      </c>
      <c r="BL11" s="10" t="s">
        <v>203</v>
      </c>
      <c r="BM11" s="10"/>
      <c r="BN11" s="16" t="s">
        <v>210</v>
      </c>
      <c r="BO11" s="32"/>
    </row>
    <row r="12" spans="1:67" ht="15.75">
      <c r="A12" s="17">
        <f>DATE(N6,K6,1)</f>
        <v>46357</v>
      </c>
      <c r="B12" s="1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2"/>
    </row>
    <row r="13" spans="1:67" ht="15.75">
      <c r="A13" s="17">
        <f>A12+1</f>
        <v>46358</v>
      </c>
      <c r="B13" s="1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67" ht="15.75">
      <c r="A14" s="17">
        <f t="shared" ref="A14:A39" si="0">A13+1</f>
        <v>46359</v>
      </c>
      <c r="B14" s="1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7" ht="15.75">
      <c r="A15" s="17">
        <f t="shared" si="0"/>
        <v>46360</v>
      </c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7" ht="15.75">
      <c r="A16" s="17">
        <f t="shared" si="0"/>
        <v>46361</v>
      </c>
      <c r="B16" s="1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ht="15.75">
      <c r="A17" s="17">
        <f t="shared" si="0"/>
        <v>46362</v>
      </c>
      <c r="B17" s="1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ht="15.75">
      <c r="A18" s="17">
        <f t="shared" si="0"/>
        <v>46363</v>
      </c>
      <c r="B18" s="1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ht="15.75">
      <c r="A19" s="17">
        <f t="shared" si="0"/>
        <v>46364</v>
      </c>
      <c r="B19" s="1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ht="15.75">
      <c r="A20" s="17">
        <f t="shared" si="0"/>
        <v>46365</v>
      </c>
      <c r="B20" s="1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ht="15.75">
      <c r="A21" s="17">
        <f t="shared" si="0"/>
        <v>46366</v>
      </c>
      <c r="B21" s="1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ht="15.75">
      <c r="A22" s="17">
        <f t="shared" si="0"/>
        <v>46367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15.75">
      <c r="A23" s="17">
        <f t="shared" si="0"/>
        <v>46368</v>
      </c>
      <c r="B23" s="1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ht="15.75">
      <c r="A24" s="17">
        <f t="shared" si="0"/>
        <v>46369</v>
      </c>
      <c r="B24" s="1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ht="15.75">
      <c r="A25" s="17">
        <f t="shared" si="0"/>
        <v>46370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ht="15.75">
      <c r="A26" s="17">
        <f t="shared" si="0"/>
        <v>46371</v>
      </c>
      <c r="B26" s="1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ht="15.75">
      <c r="A27" s="17">
        <f t="shared" si="0"/>
        <v>46372</v>
      </c>
      <c r="B27" s="1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ht="15.75">
      <c r="A28" s="17">
        <f t="shared" si="0"/>
        <v>46373</v>
      </c>
      <c r="B28" s="1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ht="15.75">
      <c r="A29" s="17">
        <f t="shared" si="0"/>
        <v>46374</v>
      </c>
      <c r="B29" s="1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ht="15.75">
      <c r="A30" s="17">
        <f t="shared" si="0"/>
        <v>46375</v>
      </c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ht="15.75">
      <c r="A31" s="17">
        <f t="shared" si="0"/>
        <v>46376</v>
      </c>
      <c r="B31" s="1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ht="15.75">
      <c r="A32" s="17">
        <f t="shared" si="0"/>
        <v>46377</v>
      </c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ht="15.75">
      <c r="A33" s="17">
        <f t="shared" si="0"/>
        <v>46378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ht="15.75">
      <c r="A34" s="17">
        <f>A33+1</f>
        <v>46379</v>
      </c>
      <c r="B34" s="1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ht="15.75">
      <c r="A35" s="17">
        <f t="shared" si="0"/>
        <v>46380</v>
      </c>
      <c r="B35" s="1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ht="15.75">
      <c r="A36" s="17">
        <f t="shared" si="0"/>
        <v>46381</v>
      </c>
      <c r="B36" s="1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15.75">
      <c r="A37" s="17">
        <f t="shared" si="0"/>
        <v>46382</v>
      </c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ht="15.75">
      <c r="A38" s="17">
        <f t="shared" si="0"/>
        <v>46383</v>
      </c>
      <c r="B38" s="1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ht="15.75">
      <c r="A39" s="17">
        <f t="shared" si="0"/>
        <v>46384</v>
      </c>
      <c r="B39" s="1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ht="15.75">
      <c r="A40" s="17">
        <f>IF(A39="","",IF(A39=EOMONTH(DATE($N$6,$K$6,1),0),"",A39+1))</f>
        <v>46385</v>
      </c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ht="15.75">
      <c r="A41" s="17">
        <f>IF(A40="","",IF(A40=EOMONTH(DATE($N$6,$K$6,1),0),"",A40+1))</f>
        <v>46386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ht="15.75">
      <c r="A42" s="17">
        <f>IF(A41="","",IF(A41=EOMONTH(DATE($N$6,$K$6,1),0),"",A41+1))</f>
        <v>46387</v>
      </c>
      <c r="B42" s="1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>
      <c r="A43" s="13" t="s">
        <v>204</v>
      </c>
      <c r="B43" s="19" t="s">
        <v>208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1:67">
      <c r="A44" s="15"/>
      <c r="B44" s="14" t="s">
        <v>209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">
        <v>205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</sheetData>
  <mergeCells count="45">
    <mergeCell ref="A1:A3"/>
    <mergeCell ref="B1:M3"/>
    <mergeCell ref="N1:BO1"/>
    <mergeCell ref="N2:P2"/>
    <mergeCell ref="Q2:BN2"/>
    <mergeCell ref="N3:P3"/>
    <mergeCell ref="Q3:BN3"/>
    <mergeCell ref="A4:BO4"/>
    <mergeCell ref="A5:BO5"/>
    <mergeCell ref="N6:O6"/>
    <mergeCell ref="A8:A11"/>
    <mergeCell ref="B8:P8"/>
    <mergeCell ref="BO8:BO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2025-01-13T02:14:40Z</dcterms:created>
  <dcterms:modified xsi:type="dcterms:W3CDTF">2026-04-01T03:36:36Z</dcterms:modified>
</cp:coreProperties>
</file>